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shboard" sheetId="1" state="visible" r:id="rId3"/>
    <sheet name="Inventory Dashboard" sheetId="2" state="visible" r:id="rId4"/>
    <sheet name="Data" sheetId="3" state="visible" r:id="rId5"/>
  </sheets>
  <definedNames>
    <definedName function="false" hidden="true" localSheetId="2" name="_xlnm._FilterDatabase" vbProcedure="false">Data!$A$1:$T$60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<sst xmlns="http://schemas.openxmlformats.org/spreadsheetml/2006/main" count="238" uniqueCount="95">
  <si>
    <t xml:space="preserve">AUTOMOTIVE INVENTORY  ·  SALES DASHBOARD</t>
  </si>
  <si>
    <t xml:space="preserve">Sold vehicles · updates automatically from the Data tab</t>
  </si>
  <si>
    <t xml:space="preserve">UNITS SOLD</t>
  </si>
  <si>
    <t xml:space="preserve">TOTAL PROFIT</t>
  </si>
  <si>
    <t xml:space="preserve">TOTAL SALES (CUMULATIVE)</t>
  </si>
  <si>
    <t xml:space="preserve">OVERALL ROI</t>
  </si>
  <si>
    <t xml:space="preserve">AVG PROFIT / SALE</t>
  </si>
  <si>
    <t xml:space="preserve">AVG DAYS TO SELL</t>
  </si>
  <si>
    <t xml:space="preserve">MONTHLY PROFIT (newest first)</t>
  </si>
  <si>
    <t xml:space="preserve">PROFIT BY MAKE</t>
  </si>
  <si>
    <t xml:space="preserve">MOST-SOLD MODELS · FASTEST FIRST</t>
  </si>
  <si>
    <t xml:space="preserve">Month</t>
  </si>
  <si>
    <t xml:space="preserve">Units</t>
  </si>
  <si>
    <t xml:space="preserve">Profit</t>
  </si>
  <si>
    <t xml:space="preserve">Make</t>
  </si>
  <si>
    <t xml:space="preserve">Model</t>
  </si>
  <si>
    <t xml:space="preserve">Sold</t>
  </si>
  <si>
    <t xml:space="preserve">Avg Days</t>
  </si>
  <si>
    <t xml:space="preserve">Avg Profit</t>
  </si>
  <si>
    <t xml:space="preserve">05/2026</t>
  </si>
  <si>
    <t xml:space="preserve">CFMoto</t>
  </si>
  <si>
    <t xml:space="preserve">Kawasaki Ninja 400</t>
  </si>
  <si>
    <t xml:space="preserve">04/2026</t>
  </si>
  <si>
    <t xml:space="preserve">Ducati</t>
  </si>
  <si>
    <t xml:space="preserve">Kawasaki Ninja 500</t>
  </si>
  <si>
    <t xml:space="preserve">03/2026</t>
  </si>
  <si>
    <t xml:space="preserve">Honda</t>
  </si>
  <si>
    <t xml:space="preserve">Yamaha YZF-R3</t>
  </si>
  <si>
    <t xml:space="preserve">02/2026</t>
  </si>
  <si>
    <t xml:space="preserve">KTM</t>
  </si>
  <si>
    <t xml:space="preserve">Kawasaki Ninja 300</t>
  </si>
  <si>
    <t xml:space="preserve">11/2025</t>
  </si>
  <si>
    <t xml:space="preserve">Kawasaki</t>
  </si>
  <si>
    <t xml:space="preserve">Kawasaki Ninja 650</t>
  </si>
  <si>
    <t xml:space="preserve">10/2025</t>
  </si>
  <si>
    <t xml:space="preserve">Toyota</t>
  </si>
  <si>
    <t xml:space="preserve">Toyota Camry</t>
  </si>
  <si>
    <t xml:space="preserve">09/2025</t>
  </si>
  <si>
    <t xml:space="preserve">Yamaha</t>
  </si>
  <si>
    <t xml:space="preserve">Kawasaki Ninja 250</t>
  </si>
  <si>
    <t xml:space="preserve">08/2025</t>
  </si>
  <si>
    <t xml:space="preserve">CFMoto 300SS</t>
  </si>
  <si>
    <t xml:space="preserve">07/2025</t>
  </si>
  <si>
    <t xml:space="preserve">Kawasaki ZX-6R</t>
  </si>
  <si>
    <t xml:space="preserve">TOTAL</t>
  </si>
  <si>
    <t xml:space="preserve">KTM Duke 390</t>
  </si>
  <si>
    <t xml:space="preserve">Kawasaki Z500</t>
  </si>
  <si>
    <t xml:space="preserve">Honda CBR500R</t>
  </si>
  <si>
    <t xml:space="preserve">Ducati Monster 696</t>
  </si>
  <si>
    <t xml:space="preserve">AUTOMOTIVE INVENTORY  ·  INVENTORY DASHBOARD</t>
  </si>
  <si>
    <t xml:space="preserve">Vehicles you currently hold · updates automatically</t>
  </si>
  <si>
    <t xml:space="preserve">UNITS IN INVENTORY</t>
  </si>
  <si>
    <t xml:space="preserve">CAPITAL TIED UP</t>
  </si>
  <si>
    <t xml:space="preserve">AVG DAYS HELD</t>
  </si>
  <si>
    <t xml:space="preserve">CURRENT INVENTORY (newest first)</t>
  </si>
  <si>
    <t xml:space="preserve">Purchased</t>
  </si>
  <si>
    <t xml:space="preserve">Year</t>
  </si>
  <si>
    <t xml:space="preserve">Buy Price</t>
  </si>
  <si>
    <t xml:space="preserve">Days Held</t>
  </si>
  <si>
    <t xml:space="preserve">Partners</t>
  </si>
  <si>
    <t xml:space="preserve">ID</t>
  </si>
  <si>
    <t xml:space="preserve">Type</t>
  </si>
  <si>
    <t xml:space="preserve">Status</t>
  </si>
  <si>
    <t xml:space="preserve">Sell Price</t>
  </si>
  <si>
    <t xml:space="preserve">Days to Sell</t>
  </si>
  <si>
    <t xml:space="preserve">Purchase Date</t>
  </si>
  <si>
    <t xml:space="preserve">Sale Date</t>
  </si>
  <si>
    <t xml:space="preserve">Sold To</t>
  </si>
  <si>
    <t xml:space="preserve">Buyer Contact</t>
  </si>
  <si>
    <t xml:space="preserve">Partner 1</t>
  </si>
  <si>
    <t xml:space="preserve">P1 Cash</t>
  </si>
  <si>
    <t xml:space="preserve">P1 %</t>
  </si>
  <si>
    <t xml:space="preserve">Partner 2</t>
  </si>
  <si>
    <t xml:space="preserve">P2 Cash</t>
  </si>
  <si>
    <t xml:space="preserve">P2 %</t>
  </si>
  <si>
    <t xml:space="preserve">Sale Month</t>
  </si>
  <si>
    <t xml:space="preserve">InvSeq</t>
  </si>
  <si>
    <t xml:space="preserve">◄ Update vehicles here. Sell Price + Sale Date = SOLD. Partner cash defaults to half the buy price (50/50 Zeshan/Asmaar); change a cash amount and the % recalculates.</t>
  </si>
  <si>
    <t xml:space="preserve">Ninja 300</t>
  </si>
  <si>
    <t xml:space="preserve">Motorcycle</t>
  </si>
  <si>
    <t xml:space="preserve">Zeshan</t>
  </si>
  <si>
    <t xml:space="preserve">Asmaar</t>
  </si>
  <si>
    <t xml:space="preserve">Ninja 650</t>
  </si>
  <si>
    <t xml:space="preserve">ZX-6R</t>
  </si>
  <si>
    <t xml:space="preserve">YZF-R3</t>
  </si>
  <si>
    <t xml:space="preserve">300SS</t>
  </si>
  <si>
    <t xml:space="preserve">Ninja 500</t>
  </si>
  <si>
    <t xml:space="preserve">Ninja 400</t>
  </si>
  <si>
    <t xml:space="preserve">CBR500R</t>
  </si>
  <si>
    <t xml:space="preserve">Monster 696</t>
  </si>
  <si>
    <t xml:space="preserve">Camry</t>
  </si>
  <si>
    <t xml:space="preserve">Car</t>
  </si>
  <si>
    <t xml:space="preserve">Z500</t>
  </si>
  <si>
    <t xml:space="preserve">Ninja 250</t>
  </si>
  <si>
    <t xml:space="preserve">Duke 390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</si>
</sst>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\$#,##0"/>
    <numFmt numFmtId="167" formatCode="0.0%"/>
    <numFmt numFmtId="168" formatCode="0.0"/>
    <numFmt numFmtId="169" formatCode="mm/dd/yyyy"/>
    <numFmt numFmtId="170" formatCode="\$#,##0;&quot;($&quot;#,##0\);\-"/>
    <numFmt numFmtId="171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Calibri"/>
      <family val="0"/>
      <charset val="1"/>
    </font>
    <font>
      <i val="true"/>
      <sz val="10"/>
      <color rgb="FF64748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2"/>
      <color rgb="FF14304F"/>
      <name val="Calibri"/>
      <family val="0"/>
      <charset val="1"/>
    </font>
    <font>
      <b val="true"/>
      <sz val="12"/>
      <color rgb="FF14304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i val="true"/>
      <sz val="11"/>
      <color rgb="FFB26A0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4304F"/>
        <bgColor rgb="FF333333"/>
      </patternFill>
    </fill>
    <fill>
      <patternFill patternType="solid">
        <fgColor rgb="FFF7FAFE"/>
        <bgColor rgb="FFF9F9F9"/>
      </patternFill>
    </fill>
    <fill>
      <patternFill patternType="solid">
        <fgColor rgb="FF2E6DA4"/>
        <bgColor rgb="FF4F81BD"/>
      </patternFill>
    </fill>
    <fill>
      <patternFill patternType="solid">
        <fgColor rgb="FF1F7A44"/>
        <bgColor rgb="FF0F7B6C"/>
      </patternFill>
    </fill>
    <fill>
      <patternFill patternType="solid">
        <fgColor rgb="FFEAF1FB"/>
        <bgColor rgb="FFEEF1F5"/>
      </patternFill>
    </fill>
    <fill>
      <patternFill patternType="solid">
        <fgColor rgb="FFEEF1F5"/>
        <bgColor rgb="FFEAF1FB"/>
      </patternFill>
    </fill>
    <fill>
      <patternFill patternType="solid">
        <fgColor rgb="FF0F7B6C"/>
        <bgColor rgb="FF1F7A44"/>
      </patternFill>
    </fill>
    <fill>
      <patternFill patternType="solid">
        <fgColor rgb="FFB26A00"/>
        <bgColor rgb="FFFF6600"/>
      </patternFill>
    </fill>
    <fill>
      <patternFill patternType="solid">
        <fgColor rgb="FF5B3A8E"/>
        <bgColor rgb="FF993366"/>
      </patternFill>
    </fill>
    <fill>
      <patternFill patternType="solid">
        <fgColor rgb="FFF2F6FC"/>
        <bgColor rgb="FFF7FA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4E2"/>
      </left>
      <right style="thin">
        <color rgb="FFC9D4E2"/>
      </right>
      <top style="thin">
        <color rgb="FFC9D4E2"/>
      </top>
      <bottom style="thin">
        <color rgb="FFC9D4E2"/>
      </bottom>
      <diagonal/>
    </border>
    <border diagonalUp="false" diagonalDown="false">
      <left style="hair">
        <color rgb="FFD5DCE6"/>
      </left>
      <right style="hair">
        <color rgb="FFD5DCE6"/>
      </right>
      <top style="hair">
        <color rgb="FFD5DCE6"/>
      </top>
      <bottom style="hair">
        <color rgb="FFD5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4304F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4E9"/>
          <bgColor rgb="FF000000"/>
        </patternFill>
      </fill>
    </dxf>
    <dxf>
      <fill>
        <patternFill patternType="solid">
          <fgColor rgb="FFFBEEDA"/>
          <bgColor rgb="FF000000"/>
        </patternFill>
      </fill>
    </dxf>
    <dxf>
      <fill>
        <patternFill patternType="solid">
          <fgColor rgb="FF1F7A44"/>
          <bgColor rgb="FF000000"/>
        </patternFill>
      </fill>
    </dxf>
    <dxf>
      <fill>
        <patternFill patternType="solid">
          <fgColor rgb="FFB26A00"/>
          <bgColor rgb="FF000000"/>
        </patternFill>
      </fill>
    </dxf>
    <dxf>
      <fill>
        <patternFill patternType="solid">
          <fgColor rgb="FF5B3A8E"/>
          <bgColor rgb="FF000000"/>
        </patternFill>
      </fill>
    </dxf>
    <dxf>
      <font>
        <name val="Calibri"/>
        <charset val="1"/>
        <family val="0"/>
        <b val="1"/>
        <color rgb="FF1F7A44"/>
      </font>
      <fill>
        <patternFill>
          <bgColor rgb="FFE3F4E9"/>
        </patternFill>
      </fill>
    </dxf>
    <dxf>
      <font>
        <name val="Calibri"/>
        <charset val="1"/>
        <family val="0"/>
        <b val="1"/>
        <color rgb="FFB26A00"/>
      </font>
      <fill>
        <patternFill>
          <bgColor rgb="FFFBEEDA"/>
        </patternFill>
      </fill>
    </dxf>
    <dxf>
      <font>
        <name val="Calibri"/>
        <charset val="1"/>
        <family val="0"/>
        <b val="1"/>
        <color rgb="FF1F7A44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0F7B6C"/>
      <rgbColor rgb="FFD9D9D9"/>
      <rgbColor rgb="FF878787"/>
      <rgbColor rgb="FF9999FF"/>
      <rgbColor rgb="FF993366"/>
      <rgbColor rgb="FFFBEEDA"/>
      <rgbColor rgb="FFE3F4E9"/>
      <rgbColor rgb="FF660066"/>
      <rgbColor rgb="FFFF8080"/>
      <rgbColor rgb="FF2E6DA4"/>
      <rgbColor rgb="FFC9D4E2"/>
      <rgbColor rgb="FF000080"/>
      <rgbColor rgb="FFFF00FF"/>
      <rgbColor rgb="FFFFFF00"/>
      <rgbColor rgb="FF00FFFF"/>
      <rgbColor rgb="FF800080"/>
      <rgbColor rgb="FF800000"/>
      <rgbColor rgb="FF1F7A44"/>
      <rgbColor rgb="FF0000FF"/>
      <rgbColor rgb="FF00CCFF"/>
      <rgbColor rgb="FFEAF1FB"/>
      <rgbColor rgb="FFEEF1F5"/>
      <rgbColor rgb="FFF9F9F9"/>
      <rgbColor rgb="FFD5DCE6"/>
      <rgbColor rgb="FFF7FAFE"/>
      <rgbColor rgb="FFCC99FF"/>
      <rgbColor rgb="FFF2F6FC"/>
      <rgbColor rgb="FF4F81BD"/>
      <rgbColor rgb="FF33CCCC"/>
      <rgbColor rgb="FF99CC00"/>
      <rgbColor rgb="FFFFCC00"/>
      <rgbColor rgb="FFFF9900"/>
      <rgbColor rgb="FFFF6600"/>
      <rgbColor rgb="FF64748B"/>
      <rgbColor rgb="FF969696"/>
      <rgbColor rgb="FF14304F"/>
      <rgbColor rgb="FF339966"/>
      <rgbColor rgb="FF003300"/>
      <rgbColor rgb="FF333300"/>
      <rgbColor rgb="FF993300"/>
      <rgbColor rgb="FF993366"/>
      <rgbColor rgb="FF5B3A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'Sales Dashboard'!D15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Dashboard'!$B$16:$B$24</c:f>
              <c:strCache>
                <c:ptCount val="9"/>
                <c:pt idx="0">
                  <c:v>05/2026</c:v>
                </c:pt>
                <c:pt idx="1">
                  <c:v>04/2026</c:v>
                </c:pt>
                <c:pt idx="2">
                  <c:v>03/2026</c:v>
                </c:pt>
                <c:pt idx="3">
                  <c:v>02/2026</c:v>
                </c:pt>
                <c:pt idx="4">
                  <c:v>11/2025</c:v>
                </c:pt>
                <c:pt idx="5">
                  <c:v>10/2025</c:v>
                </c:pt>
                <c:pt idx="6">
                  <c:v>09/2025</c:v>
                </c:pt>
                <c:pt idx="7">
                  <c:v>08/2025</c:v>
                </c:pt>
                <c:pt idx="8">
                  <c:v>07/2025</c:v>
                </c:pt>
              </c:strCache>
            </c:strRef>
          </c:cat>
          <c:val>
            <c:numRef>
              <c:f>'Sales Dashboard'!$D$16:$D$24</c:f>
              <c:numCache>
                <c:formatCode>\$#,##0</c:formatCode>
                <c:ptCount val="9"/>
                <c:pt idx="0">
                  <c:v>900</c:v>
                </c:pt>
                <c:pt idx="1">
                  <c:v>2700</c:v>
                </c:pt>
                <c:pt idx="2">
                  <c:v>3450</c:v>
                </c:pt>
                <c:pt idx="3">
                  <c:v>500</c:v>
                </c:pt>
                <c:pt idx="4">
                  <c:v>950</c:v>
                </c:pt>
                <c:pt idx="5">
                  <c:v>900</c:v>
                </c:pt>
                <c:pt idx="6">
                  <c:v>5200</c:v>
                </c:pt>
                <c:pt idx="7">
                  <c:v>7775</c:v>
                </c:pt>
                <c:pt idx="8">
                  <c:v>2650</c:v>
                </c:pt>
              </c:numCache>
            </c:numRef>
          </c:val>
        </c:ser>
        <c:gapWidth val="150"/>
        <c:overlap val="0"/>
        <c:axId val="10354318"/>
        <c:axId val="60484723"/>
      </c:barChart>
      <c:catAx>
        <c:axId val="103543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484723"/>
        <c:crosses val="autoZero"/>
        <c:auto val="1"/>
        <c:lblAlgn val="ctr"/>
        <c:lblOffset val="100"/>
        <c:noMultiLvlLbl val="0"/>
      </c:catAx>
      <c:valAx>
        <c:axId val="604847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3543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30</xdr:row>
      <xdr:rowOff>0</xdr:rowOff>
    </xdr:from>
    <xdr:to>
      <xdr:col>11</xdr:col>
      <xdr:colOff>684720</xdr:colOff>
      <xdr:row>45</xdr:row>
      <xdr:rowOff>21960</xdr:rowOff>
    </xdr:to>
    <xdr:graphicFrame>
      <xdr:nvGraphicFramePr>
        <xdr:cNvPr id="1" name="Chart 1"/>
        <xdr:cNvGraphicFramePr/>
      </xdr:nvGraphicFramePr>
      <xdr:xfrm>
        <a:off x="4651920" y="61722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304F"/>
    <pageSetUpPr fitToPage="true"/>
  </sheetPr>
  <dimension ref="B2:M28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8" min="4" style="0" width="15"/>
    <col collapsed="false" customWidth="true" hidden="false" outlineLevel="0" max="9" min="9" style="0" width="2"/>
    <col collapsed="false" customWidth="true" hidden="false" outlineLevel="0" max="10" min="10" style="0" width="1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11"/>
  </cols>
  <sheetData>
    <row r="2" customFormat="false" ht="37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16.5" hidden="false" customHeight="true" outlineLevel="0" collapsed="false">
      <c r="B5" s="3" t="s">
        <v>2</v>
      </c>
      <c r="C5" s="3"/>
      <c r="D5" s="4" t="s">
        <v>3</v>
      </c>
      <c r="E5" s="4"/>
      <c r="F5" s="3" t="s">
        <v>4</v>
      </c>
      <c r="G5" s="3"/>
    </row>
    <row r="6" customFormat="false" ht="16.5" hidden="false" customHeight="true" outlineLevel="0" collapsed="false">
      <c r="B6" s="5" t="n">
        <f aca="false">COUNTIF(Data!$F$2:$F$60,"Sold")</f>
        <v>25</v>
      </c>
      <c r="C6" s="5"/>
      <c r="D6" s="6" t="n">
        <f aca="false">SUM(Data!$I$2:$I$60)</f>
        <v>25025</v>
      </c>
      <c r="E6" s="6"/>
      <c r="F6" s="6" t="n">
        <f aca="false">SUM(Data!$H$2:$H$60)</f>
        <v>114525</v>
      </c>
      <c r="G6" s="6"/>
    </row>
    <row r="7" customFormat="false" ht="15.75" hidden="false" customHeight="true" outlineLevel="0" collapsed="false">
      <c r="B7" s="5"/>
      <c r="C7" s="5"/>
      <c r="D7" s="6"/>
      <c r="E7" s="6"/>
      <c r="F7" s="6"/>
      <c r="G7" s="6"/>
    </row>
    <row r="9" customFormat="false" ht="16.5" hidden="false" customHeight="true" outlineLevel="0" collapsed="false">
      <c r="B9" s="4" t="s">
        <v>5</v>
      </c>
      <c r="C9" s="4"/>
      <c r="D9" s="3" t="s">
        <v>6</v>
      </c>
      <c r="E9" s="3"/>
      <c r="F9" s="3" t="s">
        <v>7</v>
      </c>
      <c r="G9" s="3"/>
    </row>
    <row r="10" customFormat="false" ht="16.5" hidden="false" customHeight="true" outlineLevel="0" collapsed="false">
      <c r="B10" s="7" t="n">
        <f aca="false">IFERROR(SUM(Data!$I$2:$I$60)/SUMIF(Data!$F$2:$F$60,"Sold",Data!$G$2:$G$60),0)</f>
        <v>0.279608938547486</v>
      </c>
      <c r="C10" s="7"/>
      <c r="D10" s="6" t="n">
        <f aca="false">IFERROR(AVERAGE(Data!$I$2:$I$60),0)</f>
        <v>1001</v>
      </c>
      <c r="E10" s="6"/>
      <c r="F10" s="8" t="n">
        <f aca="false">IFERROR(AVERAGE(Data!$J$2:$J$60),0)</f>
        <v>14.68</v>
      </c>
      <c r="G10" s="8"/>
    </row>
    <row r="11" customFormat="false" ht="15.75" hidden="false" customHeight="true" outlineLevel="0" collapsed="false">
      <c r="B11" s="7"/>
      <c r="C11" s="7"/>
      <c r="D11" s="6"/>
      <c r="E11" s="6"/>
      <c r="F11" s="8"/>
      <c r="G11" s="8"/>
    </row>
    <row r="14" customFormat="false" ht="15" hidden="false" customHeight="false" outlineLevel="0" collapsed="false">
      <c r="B14" s="9" t="s">
        <v>8</v>
      </c>
      <c r="C14" s="9"/>
      <c r="D14" s="9"/>
      <c r="F14" s="9" t="s">
        <v>9</v>
      </c>
      <c r="G14" s="9"/>
      <c r="H14" s="9"/>
      <c r="J14" s="9" t="s">
        <v>10</v>
      </c>
      <c r="K14" s="9"/>
      <c r="L14" s="9"/>
      <c r="M14" s="9"/>
    </row>
    <row r="15" customFormat="false" ht="18" hidden="false" customHeight="true" outlineLevel="0" collapsed="false">
      <c r="B15" s="10" t="s">
        <v>11</v>
      </c>
      <c r="C15" s="10" t="s">
        <v>12</v>
      </c>
      <c r="D15" s="10" t="s">
        <v>13</v>
      </c>
      <c r="F15" s="10" t="s">
        <v>14</v>
      </c>
      <c r="G15" s="10" t="s">
        <v>12</v>
      </c>
      <c r="H15" s="10" t="s">
        <v>13</v>
      </c>
      <c r="J15" s="10" t="s">
        <v>15</v>
      </c>
      <c r="K15" s="10" t="s">
        <v>16</v>
      </c>
      <c r="L15" s="10" t="s">
        <v>17</v>
      </c>
      <c r="M15" s="10" t="s">
        <v>18</v>
      </c>
    </row>
    <row r="16" customFormat="false" ht="15" hidden="false" customHeight="false" outlineLevel="0" collapsed="false">
      <c r="B16" s="11" t="s">
        <v>19</v>
      </c>
      <c r="C16" s="12" t="n">
        <f aca="false">COUNTIF(Data!$U$2:$U$60,"2026-05")</f>
        <v>1</v>
      </c>
      <c r="D16" s="13" t="n">
        <f aca="false">SUMIF(Data!$U$2:$U$60,"2026-05",Data!$I$2:$I$60)</f>
        <v>900</v>
      </c>
      <c r="F16" s="12" t="s">
        <v>20</v>
      </c>
      <c r="G16" s="12" t="n">
        <f aca="false">COUNTIFS(Data!$F$2:$F$60,"Sold",Data!$B$2:$B$60,$F16)</f>
        <v>1</v>
      </c>
      <c r="H16" s="13" t="n">
        <f aca="false">SUMIF(Data!$B$2:$B$60,$F16,Data!$I$2:$I$60)</f>
        <v>800</v>
      </c>
      <c r="J16" s="12" t="s">
        <v>21</v>
      </c>
      <c r="K16" s="12" t="n">
        <f aca="false">COUNTIFS(Data!$F$2:$F$60,"Sold",Data!$B$2:$B$60,"Kawasaki",Data!$C$2:$C$60,"Ninja 400")</f>
        <v>6</v>
      </c>
      <c r="L16" s="14" t="n">
        <f aca="false">IFERROR(AVERAGEIFS(Data!$J$2:$J$60,Data!$F$2:$F$60,"Sold",Data!$B$2:$B$60,"Kawasaki",Data!$C$2:$C$60,"Ninja 400"),"")</f>
        <v>10.8333333333333</v>
      </c>
      <c r="M16" s="13" t="n">
        <f aca="false">IFERROR(AVERAGEIFS(Data!$I$2:$I$60,Data!$F$2:$F$60,"Sold",Data!$B$2:$B$60,"Kawasaki",Data!$C$2:$C$60,"Ninja 400"),"")</f>
        <v>1066.66666666667</v>
      </c>
    </row>
    <row r="17" customFormat="false" ht="15" hidden="false" customHeight="false" outlineLevel="0" collapsed="false">
      <c r="B17" s="15" t="s">
        <v>22</v>
      </c>
      <c r="C17" s="16" t="n">
        <f aca="false">COUNTIF(Data!$U$2:$U$60,"2026-04")</f>
        <v>3</v>
      </c>
      <c r="D17" s="17" t="n">
        <f aca="false">SUMIF(Data!$U$2:$U$60,"2026-04",Data!$I$2:$I$60)</f>
        <v>2700</v>
      </c>
      <c r="F17" s="16" t="s">
        <v>23</v>
      </c>
      <c r="G17" s="16" t="n">
        <f aca="false">COUNTIFS(Data!$F$2:$F$60,"Sold",Data!$B$2:$B$60,$F17)</f>
        <v>1</v>
      </c>
      <c r="H17" s="17" t="n">
        <f aca="false">SUMIF(Data!$B$2:$B$60,$F17,Data!$I$2:$I$60)</f>
        <v>200</v>
      </c>
      <c r="J17" s="16" t="s">
        <v>24</v>
      </c>
      <c r="K17" s="16" t="n">
        <f aca="false">COUNTIFS(Data!$F$2:$F$60,"Sold",Data!$B$2:$B$60,"Kawasaki",Data!$C$2:$C$60,"Ninja 500")</f>
        <v>3</v>
      </c>
      <c r="L17" s="18" t="n">
        <f aca="false">IFERROR(AVERAGEIFS(Data!$J$2:$J$60,Data!$F$2:$F$60,"Sold",Data!$B$2:$B$60,"Kawasaki",Data!$C$2:$C$60,"Ninja 500"),"")</f>
        <v>11</v>
      </c>
      <c r="M17" s="17" t="n">
        <f aca="false">IFERROR(AVERAGEIFS(Data!$I$2:$I$60,Data!$F$2:$F$60,"Sold",Data!$B$2:$B$60,"Kawasaki",Data!$C$2:$C$60,"Ninja 500"),"")</f>
        <v>733.333333333333</v>
      </c>
    </row>
    <row r="18" customFormat="false" ht="15" hidden="false" customHeight="false" outlineLevel="0" collapsed="false">
      <c r="B18" s="11" t="s">
        <v>25</v>
      </c>
      <c r="C18" s="12" t="n">
        <f aca="false">COUNTIF(Data!$U$2:$U$60,"2026-03")</f>
        <v>4</v>
      </c>
      <c r="D18" s="13" t="n">
        <f aca="false">SUMIF(Data!$U$2:$U$60,"2026-03",Data!$I$2:$I$60)</f>
        <v>3450</v>
      </c>
      <c r="F18" s="12" t="s">
        <v>26</v>
      </c>
      <c r="G18" s="12" t="n">
        <f aca="false">COUNTIFS(Data!$F$2:$F$60,"Sold",Data!$B$2:$B$60,$F18)</f>
        <v>1</v>
      </c>
      <c r="H18" s="13" t="n">
        <f aca="false">SUMIF(Data!$B$2:$B$60,$F18,Data!$I$2:$I$60)</f>
        <v>500</v>
      </c>
      <c r="J18" s="12" t="s">
        <v>27</v>
      </c>
      <c r="K18" s="12" t="n">
        <f aca="false">COUNTIFS(Data!$F$2:$F$60,"Sold",Data!$B$2:$B$60,"Yamaha",Data!$C$2:$C$60,"YZF-R3")</f>
        <v>3</v>
      </c>
      <c r="L18" s="14" t="n">
        <f aca="false">IFERROR(AVERAGEIFS(Data!$J$2:$J$60,Data!$F$2:$F$60,"Sold",Data!$B$2:$B$60,"Yamaha",Data!$C$2:$C$60,"YZF-R3"),"")</f>
        <v>14.3333333333333</v>
      </c>
      <c r="M18" s="13" t="n">
        <f aca="false">IFERROR(AVERAGEIFS(Data!$I$2:$I$60,Data!$F$2:$F$60,"Sold",Data!$B$2:$B$60,"Yamaha",Data!$C$2:$C$60,"YZF-R3"),"")</f>
        <v>1066.66666666667</v>
      </c>
    </row>
    <row r="19" customFormat="false" ht="15" hidden="false" customHeight="false" outlineLevel="0" collapsed="false">
      <c r="B19" s="15" t="s">
        <v>28</v>
      </c>
      <c r="C19" s="16" t="n">
        <f aca="false">COUNTIF(Data!$U$2:$U$60,"2026-02")</f>
        <v>1</v>
      </c>
      <c r="D19" s="17" t="n">
        <f aca="false">SUMIF(Data!$U$2:$U$60,"2026-02",Data!$I$2:$I$60)</f>
        <v>500</v>
      </c>
      <c r="F19" s="16" t="s">
        <v>29</v>
      </c>
      <c r="G19" s="16" t="n">
        <f aca="false">COUNTIFS(Data!$F$2:$F$60,"Sold",Data!$B$2:$B$60,$F19)</f>
        <v>1</v>
      </c>
      <c r="H19" s="17" t="n">
        <f aca="false">SUMIF(Data!$B$2:$B$60,$F19,Data!$I$2:$I$60)</f>
        <v>1750</v>
      </c>
      <c r="J19" s="16" t="s">
        <v>30</v>
      </c>
      <c r="K19" s="16" t="n">
        <f aca="false">COUNTIFS(Data!$F$2:$F$60,"Sold",Data!$B$2:$B$60,"Kawasaki",Data!$C$2:$C$60,"Ninja 300")</f>
        <v>2</v>
      </c>
      <c r="L19" s="18" t="n">
        <f aca="false">IFERROR(AVERAGEIFS(Data!$J$2:$J$60,Data!$F$2:$F$60,"Sold",Data!$B$2:$B$60,"Kawasaki",Data!$C$2:$C$60,"Ninja 300"),"")</f>
        <v>12</v>
      </c>
      <c r="M19" s="17" t="n">
        <f aca="false">IFERROR(AVERAGEIFS(Data!$I$2:$I$60,Data!$F$2:$F$60,"Sold",Data!$B$2:$B$60,"Kawasaki",Data!$C$2:$C$60,"Ninja 300"),"")</f>
        <v>1050</v>
      </c>
    </row>
    <row r="20" customFormat="false" ht="15" hidden="false" customHeight="false" outlineLevel="0" collapsed="false">
      <c r="B20" s="11" t="s">
        <v>31</v>
      </c>
      <c r="C20" s="12" t="n">
        <f aca="false">COUNTIF(Data!$U$2:$U$60,"2025-11")</f>
        <v>2</v>
      </c>
      <c r="D20" s="13" t="n">
        <f aca="false">SUMIF(Data!$U$2:$U$60,"2025-11",Data!$I$2:$I$60)</f>
        <v>950</v>
      </c>
      <c r="F20" s="12" t="s">
        <v>32</v>
      </c>
      <c r="G20" s="12" t="n">
        <f aca="false">COUNTIFS(Data!$F$2:$F$60,"Sold",Data!$B$2:$B$60,$F20)</f>
        <v>16</v>
      </c>
      <c r="H20" s="13" t="n">
        <f aca="false">SUMIF(Data!$B$2:$B$60,$F20,Data!$I$2:$I$60)</f>
        <v>16225</v>
      </c>
      <c r="J20" s="12" t="s">
        <v>33</v>
      </c>
      <c r="K20" s="12" t="n">
        <f aca="false">COUNTIFS(Data!$F$2:$F$60,"Sold",Data!$B$2:$B$60,"Kawasaki",Data!$C$2:$C$60,"Ninja 650")</f>
        <v>2</v>
      </c>
      <c r="L20" s="14" t="n">
        <f aca="false">IFERROR(AVERAGEIFS(Data!$J$2:$J$60,Data!$F$2:$F$60,"Sold",Data!$B$2:$B$60,"Kawasaki",Data!$C$2:$C$60,"Ninja 650"),"")</f>
        <v>16</v>
      </c>
      <c r="M20" s="13" t="n">
        <f aca="false">IFERROR(AVERAGEIFS(Data!$I$2:$I$60,Data!$F$2:$F$60,"Sold",Data!$B$2:$B$60,"Kawasaki",Data!$C$2:$C$60,"Ninja 650"),"")</f>
        <v>1462.5</v>
      </c>
    </row>
    <row r="21" customFormat="false" ht="15" hidden="false" customHeight="false" outlineLevel="0" collapsed="false">
      <c r="B21" s="15" t="s">
        <v>34</v>
      </c>
      <c r="C21" s="16" t="n">
        <f aca="false">COUNTIF(Data!$U$2:$U$60,"2025-10")</f>
        <v>1</v>
      </c>
      <c r="D21" s="17" t="n">
        <f aca="false">SUMIF(Data!$U$2:$U$60,"2025-10",Data!$I$2:$I$60)</f>
        <v>900</v>
      </c>
      <c r="F21" s="16" t="s">
        <v>35</v>
      </c>
      <c r="G21" s="16" t="n">
        <f aca="false">COUNTIFS(Data!$F$2:$F$60,"Sold",Data!$B$2:$B$60,$F21)</f>
        <v>2</v>
      </c>
      <c r="H21" s="17" t="n">
        <f aca="false">SUMIF(Data!$B$2:$B$60,$F21,Data!$I$2:$I$60)</f>
        <v>2350</v>
      </c>
      <c r="J21" s="16" t="s">
        <v>36</v>
      </c>
      <c r="K21" s="16" t="n">
        <f aca="false">COUNTIFS(Data!$F$2:$F$60,"Sold",Data!$B$2:$B$60,"Toyota",Data!$C$2:$C$60,"Camry")</f>
        <v>2</v>
      </c>
      <c r="L21" s="18" t="n">
        <f aca="false">IFERROR(AVERAGEIFS(Data!$J$2:$J$60,Data!$F$2:$F$60,"Sold",Data!$B$2:$B$60,"Toyota",Data!$C$2:$C$60,"Camry"),"")</f>
        <v>18.5</v>
      </c>
      <c r="M21" s="17" t="n">
        <f aca="false">IFERROR(AVERAGEIFS(Data!$I$2:$I$60,Data!$F$2:$F$60,"Sold",Data!$B$2:$B$60,"Toyota",Data!$C$2:$C$60,"Camry"),"")</f>
        <v>1175</v>
      </c>
    </row>
    <row r="22" customFormat="false" ht="15" hidden="false" customHeight="false" outlineLevel="0" collapsed="false">
      <c r="B22" s="11" t="s">
        <v>37</v>
      </c>
      <c r="C22" s="12" t="n">
        <f aca="false">COUNTIF(Data!$U$2:$U$60,"2025-09")</f>
        <v>5</v>
      </c>
      <c r="D22" s="13" t="n">
        <f aca="false">SUMIF(Data!$U$2:$U$60,"2025-09",Data!$I$2:$I$60)</f>
        <v>5200</v>
      </c>
      <c r="F22" s="12" t="s">
        <v>38</v>
      </c>
      <c r="G22" s="12" t="n">
        <f aca="false">COUNTIFS(Data!$F$2:$F$60,"Sold",Data!$B$2:$B$60,$F22)</f>
        <v>3</v>
      </c>
      <c r="H22" s="13" t="n">
        <f aca="false">SUMIF(Data!$B$2:$B$60,$F22,Data!$I$2:$I$60)</f>
        <v>3200</v>
      </c>
      <c r="J22" s="12" t="s">
        <v>39</v>
      </c>
      <c r="K22" s="12" t="n">
        <f aca="false">COUNTIFS(Data!$F$2:$F$60,"Sold",Data!$B$2:$B$60,"Kawasaki",Data!$C$2:$C$60,"Ninja 250")</f>
        <v>1</v>
      </c>
      <c r="L22" s="14" t="n">
        <f aca="false">IFERROR(AVERAGEIFS(Data!$J$2:$J$60,Data!$F$2:$F$60,"Sold",Data!$B$2:$B$60,"Kawasaki",Data!$C$2:$C$60,"Ninja 250"),"")</f>
        <v>12</v>
      </c>
      <c r="M22" s="13" t="n">
        <f aca="false">IFERROR(AVERAGEIFS(Data!$I$2:$I$60,Data!$F$2:$F$60,"Sold",Data!$B$2:$B$60,"Kawasaki",Data!$C$2:$C$60,"Ninja 250"),"")</f>
        <v>900</v>
      </c>
    </row>
    <row r="23" customFormat="false" ht="15" hidden="false" customHeight="false" outlineLevel="0" collapsed="false">
      <c r="B23" s="15" t="s">
        <v>40</v>
      </c>
      <c r="C23" s="16" t="n">
        <f aca="false">COUNTIF(Data!$U$2:$U$60,"2025-08")</f>
        <v>6</v>
      </c>
      <c r="D23" s="17" t="n">
        <f aca="false">SUMIF(Data!$U$2:$U$60,"2025-08",Data!$I$2:$I$60)</f>
        <v>7775</v>
      </c>
      <c r="J23" s="16" t="s">
        <v>41</v>
      </c>
      <c r="K23" s="16" t="n">
        <f aca="false">COUNTIFS(Data!$F$2:$F$60,"Sold",Data!$B$2:$B$60,"CFMoto",Data!$C$2:$C$60,"300SS")</f>
        <v>1</v>
      </c>
      <c r="L23" s="18" t="n">
        <f aca="false">IFERROR(AVERAGEIFS(Data!$J$2:$J$60,Data!$F$2:$F$60,"Sold",Data!$B$2:$B$60,"CFMoto",Data!$C$2:$C$60,"300SS"),"")</f>
        <v>13</v>
      </c>
      <c r="M23" s="17" t="n">
        <f aca="false">IFERROR(AVERAGEIFS(Data!$I$2:$I$60,Data!$F$2:$F$60,"Sold",Data!$B$2:$B$60,"CFMoto",Data!$C$2:$C$60,"300SS"),"")</f>
        <v>800</v>
      </c>
    </row>
    <row r="24" customFormat="false" ht="15" hidden="false" customHeight="false" outlineLevel="0" collapsed="false">
      <c r="B24" s="11" t="s">
        <v>42</v>
      </c>
      <c r="C24" s="12" t="n">
        <f aca="false">COUNTIF(Data!$U$2:$U$60,"2025-07")</f>
        <v>2</v>
      </c>
      <c r="D24" s="13" t="n">
        <f aca="false">SUMIF(Data!$U$2:$U$60,"2025-07",Data!$I$2:$I$60)</f>
        <v>2650</v>
      </c>
      <c r="J24" s="12" t="s">
        <v>43</v>
      </c>
      <c r="K24" s="12" t="n">
        <f aca="false">COUNTIFS(Data!$F$2:$F$60,"Sold",Data!$B$2:$B$60,"Kawasaki",Data!$C$2:$C$60,"ZX-6R")</f>
        <v>1</v>
      </c>
      <c r="L24" s="14" t="n">
        <f aca="false">IFERROR(AVERAGEIFS(Data!$J$2:$J$60,Data!$F$2:$F$60,"Sold",Data!$B$2:$B$60,"Kawasaki",Data!$C$2:$C$60,"ZX-6R"),"")</f>
        <v>18</v>
      </c>
      <c r="M24" s="13" t="n">
        <f aca="false">IFERROR(AVERAGEIFS(Data!$I$2:$I$60,Data!$F$2:$F$60,"Sold",Data!$B$2:$B$60,"Kawasaki",Data!$C$2:$C$60,"ZX-6R"),"")</f>
        <v>900</v>
      </c>
    </row>
    <row r="25" customFormat="false" ht="15" hidden="false" customHeight="false" outlineLevel="0" collapsed="false">
      <c r="B25" s="19" t="s">
        <v>44</v>
      </c>
      <c r="C25" s="19" t="n">
        <f aca="false">SUM(C16:C24)</f>
        <v>25</v>
      </c>
      <c r="D25" s="20" t="n">
        <f aca="false">SUM(D16:D24)</f>
        <v>25025</v>
      </c>
      <c r="J25" s="16" t="s">
        <v>45</v>
      </c>
      <c r="K25" s="16" t="n">
        <f aca="false">COUNTIFS(Data!$F$2:$F$60,"Sold",Data!$B$2:$B$60,"KTM",Data!$C$2:$C$60,"Duke 390")</f>
        <v>1</v>
      </c>
      <c r="L25" s="18" t="n">
        <f aca="false">IFERROR(AVERAGEIFS(Data!$J$2:$J$60,Data!$F$2:$F$60,"Sold",Data!$B$2:$B$60,"KTM",Data!$C$2:$C$60,"Duke 390"),"")</f>
        <v>19</v>
      </c>
      <c r="M25" s="17" t="n">
        <f aca="false">IFERROR(AVERAGEIFS(Data!$I$2:$I$60,Data!$F$2:$F$60,"Sold",Data!$B$2:$B$60,"KTM",Data!$C$2:$C$60,"Duke 390"),"")</f>
        <v>1750</v>
      </c>
    </row>
    <row r="26" customFormat="false" ht="15" hidden="false" customHeight="false" outlineLevel="0" collapsed="false">
      <c r="J26" s="12" t="s">
        <v>46</v>
      </c>
      <c r="K26" s="12" t="n">
        <f aca="false">COUNTIFS(Data!$F$2:$F$60,"Sold",Data!$B$2:$B$60,"Kawasaki",Data!$C$2:$C$60,"Z500")</f>
        <v>1</v>
      </c>
      <c r="L26" s="14" t="n">
        <f aca="false">IFERROR(AVERAGEIFS(Data!$J$2:$J$60,Data!$F$2:$F$60,"Sold",Data!$B$2:$B$60,"Kawasaki",Data!$C$2:$C$60,"Z500"),"")</f>
        <v>21</v>
      </c>
      <c r="M26" s="13" t="n">
        <f aca="false">IFERROR(AVERAGEIFS(Data!$I$2:$I$60,Data!$F$2:$F$60,"Sold",Data!$B$2:$B$60,"Kawasaki",Data!$C$2:$C$60,"Z500"),"")</f>
        <v>800</v>
      </c>
    </row>
    <row r="27" customFormat="false" ht="15" hidden="false" customHeight="false" outlineLevel="0" collapsed="false">
      <c r="J27" s="16" t="s">
        <v>47</v>
      </c>
      <c r="K27" s="16" t="n">
        <f aca="false">COUNTIFS(Data!$F$2:$F$60,"Sold",Data!$B$2:$B$60,"Honda",Data!$C$2:$C$60,"CBR500R")</f>
        <v>1</v>
      </c>
      <c r="L27" s="18" t="n">
        <f aca="false">IFERROR(AVERAGEIFS(Data!$J$2:$J$60,Data!$F$2:$F$60,"Sold",Data!$B$2:$B$60,"Honda",Data!$C$2:$C$60,"CBR500R"),"")</f>
        <v>22</v>
      </c>
      <c r="M27" s="17" t="n">
        <f aca="false">IFERROR(AVERAGEIFS(Data!$I$2:$I$60,Data!$F$2:$F$60,"Sold",Data!$B$2:$B$60,"Honda",Data!$C$2:$C$60,"CBR500R"),"")</f>
        <v>500</v>
      </c>
    </row>
    <row r="28" customFormat="false" ht="15" hidden="false" customHeight="false" outlineLevel="0" collapsed="false">
      <c r="J28" s="12" t="s">
        <v>48</v>
      </c>
      <c r="K28" s="12" t="n">
        <f aca="false">COUNTIFS(Data!$F$2:$F$60,"Sold",Data!$B$2:$B$60,"Ducati",Data!$C$2:$C$60,"Monster 696")</f>
        <v>1</v>
      </c>
      <c r="L28" s="14" t="n">
        <f aca="false">IFERROR(AVERAGEIFS(Data!$J$2:$J$60,Data!$F$2:$F$60,"Sold",Data!$B$2:$B$60,"Ducati",Data!$C$2:$C$60,"Monster 696"),"")</f>
        <v>28</v>
      </c>
      <c r="M28" s="13" t="n">
        <f aca="false">IFERROR(AVERAGEIFS(Data!$I$2:$I$60,Data!$F$2:$F$60,"Sold",Data!$B$2:$B$60,"Ducati",Data!$C$2:$C$60,"Monster 696"),"")</f>
        <v>200</v>
      </c>
    </row>
  </sheetData>
  <mergeCells count="17">
    <mergeCell ref="B2:I2"/>
    <mergeCell ref="B3:I3"/>
    <mergeCell ref="B5:C5"/>
    <mergeCell ref="D5:E5"/>
    <mergeCell ref="F5:G5"/>
    <mergeCell ref="B6:C7"/>
    <mergeCell ref="D6:E7"/>
    <mergeCell ref="F6:G7"/>
    <mergeCell ref="B9:C9"/>
    <mergeCell ref="D9:E9"/>
    <mergeCell ref="F9:G9"/>
    <mergeCell ref="B10:C11"/>
    <mergeCell ref="D10:E11"/>
    <mergeCell ref="F10:G11"/>
    <mergeCell ref="B14:D14"/>
    <mergeCell ref="F14:H14"/>
    <mergeCell ref="J14:M1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B6C"/>
    <pageSetUpPr fitToPage="tru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2"/>
  </cols>
  <sheetData>
    <row r="2" customFormat="false" ht="37.5" hidden="false" customHeight="true" outlineLevel="0" collapsed="false">
      <c r="B2" s="21" t="s">
        <v>49</v>
      </c>
      <c r="C2" s="21"/>
      <c r="D2" s="21"/>
      <c r="E2" s="21"/>
      <c r="F2" s="21"/>
      <c r="G2" s="21"/>
      <c r="H2" s="21"/>
      <c r="I2" s="21"/>
    </row>
    <row r="3" customFormat="false" ht="18" hidden="false" customHeight="true" outlineLevel="0" collapsed="false">
      <c r="B3" s="2" t="s">
        <v>50</v>
      </c>
      <c r="C3" s="2"/>
      <c r="D3" s="2"/>
      <c r="E3" s="2"/>
      <c r="F3" s="2"/>
      <c r="G3" s="2"/>
      <c r="H3" s="2"/>
      <c r="I3" s="2"/>
    </row>
    <row r="5" customFormat="false" ht="16.5" hidden="false" customHeight="true" outlineLevel="0" collapsed="false">
      <c r="B5" s="22" t="s">
        <v>51</v>
      </c>
      <c r="C5" s="22"/>
      <c r="D5" s="23" t="s">
        <v>52</v>
      </c>
      <c r="E5" s="23"/>
      <c r="F5" s="22" t="s">
        <v>53</v>
      </c>
      <c r="G5" s="22"/>
    </row>
    <row r="6" customFormat="false" ht="16.5" hidden="false" customHeight="true" outlineLevel="0" collapsed="false">
      <c r="B6" s="5" t="n">
        <f aca="false">COUNTIF(Data!$F$2:$F$60,"In Inventory")</f>
        <v>5</v>
      </c>
      <c r="C6" s="5"/>
      <c r="D6" s="6" t="n">
        <f aca="false">SUMIF(Data!$F$2:$F$60,"In Inventory",Data!$G$2:$G$60)</f>
        <v>15400</v>
      </c>
      <c r="E6" s="6"/>
      <c r="F6" s="8" t="n">
        <f aca="false">IFERROR(AVERAGEIF(Data!$F$2:$F$60,"In Inventory",Data!$V$2:$V$60),0)</f>
        <v>80</v>
      </c>
      <c r="G6" s="8"/>
    </row>
    <row r="7" customFormat="false" ht="15.75" hidden="false" customHeight="true" outlineLevel="0" collapsed="false">
      <c r="B7" s="5"/>
      <c r="C7" s="5"/>
      <c r="D7" s="6"/>
      <c r="E7" s="6"/>
      <c r="F7" s="8"/>
      <c r="G7" s="8"/>
    </row>
    <row r="10" customFormat="false" ht="15" hidden="false" customHeight="false" outlineLevel="0" collapsed="false">
      <c r="B10" s="9" t="s">
        <v>54</v>
      </c>
      <c r="C10" s="9"/>
      <c r="D10" s="9"/>
      <c r="E10" s="9"/>
      <c r="F10" s="9"/>
      <c r="G10" s="9"/>
      <c r="H10" s="9"/>
    </row>
    <row r="11" customFormat="false" ht="18" hidden="false" customHeight="true" outlineLevel="0" collapsed="false">
      <c r="B11" s="24" t="s">
        <v>55</v>
      </c>
      <c r="C11" s="24" t="s">
        <v>56</v>
      </c>
      <c r="D11" s="24" t="s">
        <v>14</v>
      </c>
      <c r="E11" s="24" t="s">
        <v>15</v>
      </c>
      <c r="F11" s="24" t="s">
        <v>57</v>
      </c>
      <c r="G11" s="24" t="s">
        <v>58</v>
      </c>
      <c r="H11" s="24" t="s">
        <v>59</v>
      </c>
    </row>
    <row r="12" customFormat="false" ht="15" hidden="false" customHeight="false" outlineLevel="0" collapsed="false">
      <c r="B12" s="25" t="n">
        <f aca="false">IFERROR(INDEX(Data!$K$2:$K$60,MATCH(1,Data!$W$2:$W$60,0)),"")</f>
        <v>46176</v>
      </c>
      <c r="C12" s="26" t="n">
        <f aca="false">IFERROR(INDEX(Data!$D$2:$D$60,MATCH(1,Data!$W$2:$W$60,0)),"")</f>
        <v>2014</v>
      </c>
      <c r="D12" s="12" t="str">
        <f aca="false">IFERROR(INDEX(Data!$B$2:$B$60,MATCH(1,Data!$W$2:$W$60,0)),"")</f>
        <v>Kawasaki</v>
      </c>
      <c r="E12" s="12" t="str">
        <f aca="false">IFERROR(INDEX(Data!$C$2:$C$60,MATCH(1,Data!$W$2:$W$60,0)),"")</f>
        <v>Ninja 300</v>
      </c>
      <c r="F12" s="13" t="n">
        <f aca="false">IFERROR(INDEX(Data!$G$2:$G$60,MATCH(1,Data!$W$2:$W$60,0)),"")</f>
        <v>2500</v>
      </c>
      <c r="G12" s="26" t="n">
        <f aca="false">IFERROR(INDEX(Data!$V$2:$V$60,MATCH(1,Data!$W$2:$W$60,0)),"")</f>
        <v>9</v>
      </c>
      <c r="H12" s="12" t="str">
        <f aca="false">IFERROR(INDEX(Data!$O$2:$O$60,MATCH(1,Data!$W$2:$W$60,0))&amp;" / "&amp;INDEX(Data!$R$2:$R$60,MATCH(1,Data!$W$2:$W$60,0)),"")</f>
        <v>Zeshan / Asmaar</v>
      </c>
    </row>
    <row r="13" customFormat="false" ht="15" hidden="false" customHeight="false" outlineLevel="0" collapsed="false">
      <c r="B13" s="27" t="n">
        <f aca="false">IFERROR(INDEX(Data!$K$2:$K$60,MATCH(2,Data!$W$2:$W$60,0)),"")</f>
        <v>46158</v>
      </c>
      <c r="C13" s="28" t="n">
        <f aca="false">IFERROR(INDEX(Data!$D$2:$D$60,MATCH(2,Data!$W$2:$W$60,0)),"")</f>
        <v>2015</v>
      </c>
      <c r="D13" s="16" t="str">
        <f aca="false">IFERROR(INDEX(Data!$B$2:$B$60,MATCH(2,Data!$W$2:$W$60,0)),"")</f>
        <v>Kawasaki</v>
      </c>
      <c r="E13" s="16" t="str">
        <f aca="false">IFERROR(INDEX(Data!$C$2:$C$60,MATCH(2,Data!$W$2:$W$60,0)),"")</f>
        <v>Ninja 300</v>
      </c>
      <c r="F13" s="17" t="n">
        <f aca="false">IFERROR(INDEX(Data!$G$2:$G$60,MATCH(2,Data!$W$2:$W$60,0)),"")</f>
        <v>2400</v>
      </c>
      <c r="G13" s="28" t="n">
        <f aca="false">IFERROR(INDEX(Data!$V$2:$V$60,MATCH(2,Data!$W$2:$W$60,0)),"")</f>
        <v>27</v>
      </c>
      <c r="H13" s="16" t="str">
        <f aca="false">IFERROR(INDEX(Data!$O$2:$O$60,MATCH(2,Data!$W$2:$W$60,0))&amp;" / "&amp;INDEX(Data!$R$2:$R$60,MATCH(2,Data!$W$2:$W$60,0)),"")</f>
        <v>Zeshan / Asmaar</v>
      </c>
    </row>
    <row r="14" customFormat="false" ht="15" hidden="false" customHeight="false" outlineLevel="0" collapsed="false">
      <c r="B14" s="25" t="n">
        <f aca="false">IFERROR(INDEX(Data!$K$2:$K$60,MATCH(3,Data!$W$2:$W$60,0)),"")</f>
        <v>46151</v>
      </c>
      <c r="C14" s="26" t="n">
        <f aca="false">IFERROR(INDEX(Data!$D$2:$D$60,MATCH(3,Data!$W$2:$W$60,0)),"")</f>
        <v>2021</v>
      </c>
      <c r="D14" s="12" t="str">
        <f aca="false">IFERROR(INDEX(Data!$B$2:$B$60,MATCH(3,Data!$W$2:$W$60,0)),"")</f>
        <v>Kawasaki</v>
      </c>
      <c r="E14" s="12" t="str">
        <f aca="false">IFERROR(INDEX(Data!$C$2:$C$60,MATCH(3,Data!$W$2:$W$60,0)),"")</f>
        <v>Ninja 650</v>
      </c>
      <c r="F14" s="13" t="n">
        <f aca="false">IFERROR(INDEX(Data!$G$2:$G$60,MATCH(3,Data!$W$2:$W$60,0)),"")</f>
        <v>4800</v>
      </c>
      <c r="G14" s="26" t="n">
        <f aca="false">IFERROR(INDEX(Data!$V$2:$V$60,MATCH(3,Data!$W$2:$W$60,0)),"")</f>
        <v>34</v>
      </c>
      <c r="H14" s="12" t="str">
        <f aca="false">IFERROR(INDEX(Data!$O$2:$O$60,MATCH(3,Data!$W$2:$W$60,0))&amp;" / "&amp;INDEX(Data!$R$2:$R$60,MATCH(3,Data!$W$2:$W$60,0)),"")</f>
        <v>Zeshan / Asmaar</v>
      </c>
    </row>
    <row r="15" customFormat="false" ht="15" hidden="false" customHeight="false" outlineLevel="0" collapsed="false">
      <c r="B15" s="27" t="n">
        <f aca="false">IFERROR(INDEX(Data!$K$2:$K$60,MATCH(4,Data!$W$2:$W$60,0)),"")</f>
        <v>46132</v>
      </c>
      <c r="C15" s="28" t="n">
        <f aca="false">IFERROR(INDEX(Data!$D$2:$D$60,MATCH(4,Data!$W$2:$W$60,0)),"")</f>
        <v>2015</v>
      </c>
      <c r="D15" s="16" t="str">
        <f aca="false">IFERROR(INDEX(Data!$B$2:$B$60,MATCH(4,Data!$W$2:$W$60,0)),"")</f>
        <v>Yamaha</v>
      </c>
      <c r="E15" s="16" t="str">
        <f aca="false">IFERROR(INDEX(Data!$C$2:$C$60,MATCH(4,Data!$W$2:$W$60,0)),"")</f>
        <v>YZF-R3</v>
      </c>
      <c r="F15" s="17" t="n">
        <f aca="false">IFERROR(INDEX(Data!$G$2:$G$60,MATCH(4,Data!$W$2:$W$60,0)),"")</f>
        <v>2500</v>
      </c>
      <c r="G15" s="28" t="n">
        <f aca="false">IFERROR(INDEX(Data!$V$2:$V$60,MATCH(4,Data!$W$2:$W$60,0)),"")</f>
        <v>53</v>
      </c>
      <c r="H15" s="16" t="str">
        <f aca="false">IFERROR(INDEX(Data!$O$2:$O$60,MATCH(4,Data!$W$2:$W$60,0))&amp;" / "&amp;INDEX(Data!$R$2:$R$60,MATCH(4,Data!$W$2:$W$60,0)),"")</f>
        <v>Zeshan / Asmaar</v>
      </c>
    </row>
    <row r="16" customFormat="false" ht="15" hidden="false" customHeight="false" outlineLevel="0" collapsed="false">
      <c r="B16" s="25" t="n">
        <f aca="false">IFERROR(INDEX(Data!$K$2:$K$60,MATCH(5,Data!$W$2:$W$60,0)),"")</f>
        <v>45908</v>
      </c>
      <c r="C16" s="26" t="n">
        <f aca="false">IFERROR(INDEX(Data!$D$2:$D$60,MATCH(5,Data!$W$2:$W$60,0)),"")</f>
        <v>2009</v>
      </c>
      <c r="D16" s="12" t="str">
        <f aca="false">IFERROR(INDEX(Data!$B$2:$B$60,MATCH(5,Data!$W$2:$W$60,0)),"")</f>
        <v>Toyota</v>
      </c>
      <c r="E16" s="12" t="str">
        <f aca="false">IFERROR(INDEX(Data!$C$2:$C$60,MATCH(5,Data!$W$2:$W$60,0)),"")</f>
        <v>Camry</v>
      </c>
      <c r="F16" s="13" t="n">
        <f aca="false">IFERROR(INDEX(Data!$G$2:$G$60,MATCH(5,Data!$W$2:$W$60,0)),"")</f>
        <v>3200</v>
      </c>
      <c r="G16" s="26" t="n">
        <f aca="false">IFERROR(INDEX(Data!$V$2:$V$60,MATCH(5,Data!$W$2:$W$60,0)),"")</f>
        <v>277</v>
      </c>
      <c r="H16" s="12" t="str">
        <f aca="false">IFERROR(INDEX(Data!$O$2:$O$60,MATCH(5,Data!$W$2:$W$60,0))&amp;" / "&amp;INDEX(Data!$R$2:$R$60,MATCH(5,Data!$W$2:$W$60,0)),"")</f>
        <v>Zeshan / Asmaar</v>
      </c>
    </row>
    <row r="17" customFormat="false" ht="15" hidden="false" customHeight="false" outlineLevel="0" collapsed="false">
      <c r="B17" s="27" t="str">
        <f aca="false">IFERROR(INDEX(Data!$K$2:$K$60,MATCH(6,Data!$W$2:$W$60,0)),"")</f>
        <v/>
      </c>
      <c r="C17" s="28" t="str">
        <f aca="false">IFERROR(INDEX(Data!$D$2:$D$60,MATCH(6,Data!$W$2:$W$60,0)),"")</f>
        <v/>
      </c>
      <c r="D17" s="16" t="str">
        <f aca="false">IFERROR(INDEX(Data!$B$2:$B$60,MATCH(6,Data!$W$2:$W$60,0)),"")</f>
        <v/>
      </c>
      <c r="E17" s="16" t="str">
        <f aca="false">IFERROR(INDEX(Data!$C$2:$C$60,MATCH(6,Data!$W$2:$W$60,0)),"")</f>
        <v/>
      </c>
      <c r="F17" s="17" t="str">
        <f aca="false">IFERROR(INDEX(Data!$G$2:$G$60,MATCH(6,Data!$W$2:$W$60,0)),"")</f>
        <v/>
      </c>
      <c r="G17" s="28" t="str">
        <f aca="false">IFERROR(INDEX(Data!$V$2:$V$60,MATCH(6,Data!$W$2:$W$60,0)),"")</f>
        <v/>
      </c>
      <c r="H17" s="16" t="str">
        <f aca="false">IFERROR(INDEX(Data!$O$2:$O$60,MATCH(6,Data!$W$2:$W$60,0))&amp;" / "&amp;INDEX(Data!$R$2:$R$60,MATCH(6,Data!$W$2:$W$60,0)),"")</f>
        <v/>
      </c>
    </row>
    <row r="18" customFormat="false" ht="15" hidden="false" customHeight="false" outlineLevel="0" collapsed="false">
      <c r="B18" s="25" t="str">
        <f aca="false">IFERROR(INDEX(Data!$K$2:$K$60,MATCH(7,Data!$W$2:$W$60,0)),"")</f>
        <v/>
      </c>
      <c r="C18" s="26" t="str">
        <f aca="false">IFERROR(INDEX(Data!$D$2:$D$60,MATCH(7,Data!$W$2:$W$60,0)),"")</f>
        <v/>
      </c>
      <c r="D18" s="12" t="str">
        <f aca="false">IFERROR(INDEX(Data!$B$2:$B$60,MATCH(7,Data!$W$2:$W$60,0)),"")</f>
        <v/>
      </c>
      <c r="E18" s="12" t="str">
        <f aca="false">IFERROR(INDEX(Data!$C$2:$C$60,MATCH(7,Data!$W$2:$W$60,0)),"")</f>
        <v/>
      </c>
      <c r="F18" s="13" t="str">
        <f aca="false">IFERROR(INDEX(Data!$G$2:$G$60,MATCH(7,Data!$W$2:$W$60,0)),"")</f>
        <v/>
      </c>
      <c r="G18" s="26" t="str">
        <f aca="false">IFERROR(INDEX(Data!$V$2:$V$60,MATCH(7,Data!$W$2:$W$60,0)),"")</f>
        <v/>
      </c>
      <c r="H18" s="12" t="str">
        <f aca="false">IFERROR(INDEX(Data!$O$2:$O$60,MATCH(7,Data!$W$2:$W$60,0))&amp;" / "&amp;INDEX(Data!$R$2:$R$60,MATCH(7,Data!$W$2:$W$60,0)),"")</f>
        <v/>
      </c>
    </row>
    <row r="19" customFormat="false" ht="15" hidden="false" customHeight="false" outlineLevel="0" collapsed="false">
      <c r="B19" s="27" t="str">
        <f aca="false">IFERROR(INDEX(Data!$K$2:$K$60,MATCH(8,Data!$W$2:$W$60,0)),"")</f>
        <v/>
      </c>
      <c r="C19" s="28" t="str">
        <f aca="false">IFERROR(INDEX(Data!$D$2:$D$60,MATCH(8,Data!$W$2:$W$60,0)),"")</f>
        <v/>
      </c>
      <c r="D19" s="16" t="str">
        <f aca="false">IFERROR(INDEX(Data!$B$2:$B$60,MATCH(8,Data!$W$2:$W$60,0)),"")</f>
        <v/>
      </c>
      <c r="E19" s="16" t="str">
        <f aca="false">IFERROR(INDEX(Data!$C$2:$C$60,MATCH(8,Data!$W$2:$W$60,0)),"")</f>
        <v/>
      </c>
      <c r="F19" s="17" t="str">
        <f aca="false">IFERROR(INDEX(Data!$G$2:$G$60,MATCH(8,Data!$W$2:$W$60,0)),"")</f>
        <v/>
      </c>
      <c r="G19" s="28" t="str">
        <f aca="false">IFERROR(INDEX(Data!$V$2:$V$60,MATCH(8,Data!$W$2:$W$60,0)),"")</f>
        <v/>
      </c>
      <c r="H19" s="16" t="str">
        <f aca="false">IFERROR(INDEX(Data!$O$2:$O$60,MATCH(8,Data!$W$2:$W$60,0))&amp;" / "&amp;INDEX(Data!$R$2:$R$60,MATCH(8,Data!$W$2:$W$60,0)),"")</f>
        <v/>
      </c>
    </row>
    <row r="20" customFormat="false" ht="15" hidden="false" customHeight="false" outlineLevel="0" collapsed="false">
      <c r="B20" s="25" t="str">
        <f aca="false">IFERROR(INDEX(Data!$K$2:$K$60,MATCH(9,Data!$W$2:$W$60,0)),"")</f>
        <v/>
      </c>
      <c r="C20" s="26" t="str">
        <f aca="false">IFERROR(INDEX(Data!$D$2:$D$60,MATCH(9,Data!$W$2:$W$60,0)),"")</f>
        <v/>
      </c>
      <c r="D20" s="12" t="str">
        <f aca="false">IFERROR(INDEX(Data!$B$2:$B$60,MATCH(9,Data!$W$2:$W$60,0)),"")</f>
        <v/>
      </c>
      <c r="E20" s="12" t="str">
        <f aca="false">IFERROR(INDEX(Data!$C$2:$C$60,MATCH(9,Data!$W$2:$W$60,0)),"")</f>
        <v/>
      </c>
      <c r="F20" s="13" t="str">
        <f aca="false">IFERROR(INDEX(Data!$G$2:$G$60,MATCH(9,Data!$W$2:$W$60,0)),"")</f>
        <v/>
      </c>
      <c r="G20" s="26" t="str">
        <f aca="false">IFERROR(INDEX(Data!$V$2:$V$60,MATCH(9,Data!$W$2:$W$60,0)),"")</f>
        <v/>
      </c>
      <c r="H20" s="12" t="str">
        <f aca="false">IFERROR(INDEX(Data!$O$2:$O$60,MATCH(9,Data!$W$2:$W$60,0))&amp;" / "&amp;INDEX(Data!$R$2:$R$60,MATCH(9,Data!$W$2:$W$60,0)),"")</f>
        <v/>
      </c>
    </row>
    <row r="21" customFormat="false" ht="15" hidden="false" customHeight="false" outlineLevel="0" collapsed="false">
      <c r="B21" s="27" t="str">
        <f aca="false">IFERROR(INDEX(Data!$K$2:$K$60,MATCH(10,Data!$W$2:$W$60,0)),"")</f>
        <v/>
      </c>
      <c r="C21" s="28" t="str">
        <f aca="false">IFERROR(INDEX(Data!$D$2:$D$60,MATCH(10,Data!$W$2:$W$60,0)),"")</f>
        <v/>
      </c>
      <c r="D21" s="16" t="str">
        <f aca="false">IFERROR(INDEX(Data!$B$2:$B$60,MATCH(10,Data!$W$2:$W$60,0)),"")</f>
        <v/>
      </c>
      <c r="E21" s="16" t="str">
        <f aca="false">IFERROR(INDEX(Data!$C$2:$C$60,MATCH(10,Data!$W$2:$W$60,0)),"")</f>
        <v/>
      </c>
      <c r="F21" s="17" t="str">
        <f aca="false">IFERROR(INDEX(Data!$G$2:$G$60,MATCH(10,Data!$W$2:$W$60,0)),"")</f>
        <v/>
      </c>
      <c r="G21" s="28" t="str">
        <f aca="false">IFERROR(INDEX(Data!$V$2:$V$60,MATCH(10,Data!$W$2:$W$60,0)),"")</f>
        <v/>
      </c>
      <c r="H21" s="16" t="str">
        <f aca="false">IFERROR(INDEX(Data!$O$2:$O$60,MATCH(10,Data!$W$2:$W$60,0))&amp;" / "&amp;INDEX(Data!$R$2:$R$60,MATCH(10,Data!$W$2:$W$60,0)),"")</f>
        <v/>
      </c>
    </row>
    <row r="22" customFormat="false" ht="15" hidden="false" customHeight="false" outlineLevel="0" collapsed="false">
      <c r="B22" s="25" t="str">
        <f aca="false">IFERROR(INDEX(Data!$K$2:$K$60,MATCH(11,Data!$W$2:$W$60,0)),"")</f>
        <v/>
      </c>
      <c r="C22" s="26" t="str">
        <f aca="false">IFERROR(INDEX(Data!$D$2:$D$60,MATCH(11,Data!$W$2:$W$60,0)),"")</f>
        <v/>
      </c>
      <c r="D22" s="12" t="str">
        <f aca="false">IFERROR(INDEX(Data!$B$2:$B$60,MATCH(11,Data!$W$2:$W$60,0)),"")</f>
        <v/>
      </c>
      <c r="E22" s="12" t="str">
        <f aca="false">IFERROR(INDEX(Data!$C$2:$C$60,MATCH(11,Data!$W$2:$W$60,0)),"")</f>
        <v/>
      </c>
      <c r="F22" s="13" t="str">
        <f aca="false">IFERROR(INDEX(Data!$G$2:$G$60,MATCH(11,Data!$W$2:$W$60,0)),"")</f>
        <v/>
      </c>
      <c r="G22" s="26" t="str">
        <f aca="false">IFERROR(INDEX(Data!$V$2:$V$60,MATCH(11,Data!$W$2:$W$60,0)),"")</f>
        <v/>
      </c>
      <c r="H22" s="12" t="str">
        <f aca="false">IFERROR(INDEX(Data!$O$2:$O$60,MATCH(11,Data!$W$2:$W$60,0))&amp;" / "&amp;INDEX(Data!$R$2:$R$60,MATCH(11,Data!$W$2:$W$60,0)),"")</f>
        <v/>
      </c>
    </row>
    <row r="23" customFormat="false" ht="15" hidden="false" customHeight="false" outlineLevel="0" collapsed="false">
      <c r="B23" s="27" t="str">
        <f aca="false">IFERROR(INDEX(Data!$K$2:$K$60,MATCH(12,Data!$W$2:$W$60,0)),"")</f>
        <v/>
      </c>
      <c r="C23" s="28" t="str">
        <f aca="false">IFERROR(INDEX(Data!$D$2:$D$60,MATCH(12,Data!$W$2:$W$60,0)),"")</f>
        <v/>
      </c>
      <c r="D23" s="16" t="str">
        <f aca="false">IFERROR(INDEX(Data!$B$2:$B$60,MATCH(12,Data!$W$2:$W$60,0)),"")</f>
        <v/>
      </c>
      <c r="E23" s="16" t="str">
        <f aca="false">IFERROR(INDEX(Data!$C$2:$C$60,MATCH(12,Data!$W$2:$W$60,0)),"")</f>
        <v/>
      </c>
      <c r="F23" s="17" t="str">
        <f aca="false">IFERROR(INDEX(Data!$G$2:$G$60,MATCH(12,Data!$W$2:$W$60,0)),"")</f>
        <v/>
      </c>
      <c r="G23" s="28" t="str">
        <f aca="false">IFERROR(INDEX(Data!$V$2:$V$60,MATCH(12,Data!$W$2:$W$60,0)),"")</f>
        <v/>
      </c>
      <c r="H23" s="16" t="str">
        <f aca="false">IFERROR(INDEX(Data!$O$2:$O$60,MATCH(12,Data!$W$2:$W$60,0))&amp;" / "&amp;INDEX(Data!$R$2:$R$60,MATCH(12,Data!$W$2:$W$60,0)),"")</f>
        <v/>
      </c>
    </row>
    <row r="24" customFormat="false" ht="15" hidden="false" customHeight="false" outlineLevel="0" collapsed="false">
      <c r="B24" s="25" t="str">
        <f aca="false">IFERROR(INDEX(Data!$K$2:$K$60,MATCH(13,Data!$W$2:$W$60,0)),"")</f>
        <v/>
      </c>
      <c r="C24" s="26" t="str">
        <f aca="false">IFERROR(INDEX(Data!$D$2:$D$60,MATCH(13,Data!$W$2:$W$60,0)),"")</f>
        <v/>
      </c>
      <c r="D24" s="12" t="str">
        <f aca="false">IFERROR(INDEX(Data!$B$2:$B$60,MATCH(13,Data!$W$2:$W$60,0)),"")</f>
        <v/>
      </c>
      <c r="E24" s="12" t="str">
        <f aca="false">IFERROR(INDEX(Data!$C$2:$C$60,MATCH(13,Data!$W$2:$W$60,0)),"")</f>
        <v/>
      </c>
      <c r="F24" s="13" t="str">
        <f aca="false">IFERROR(INDEX(Data!$G$2:$G$60,MATCH(13,Data!$W$2:$W$60,0)),"")</f>
        <v/>
      </c>
      <c r="G24" s="26" t="str">
        <f aca="false">IFERROR(INDEX(Data!$V$2:$V$60,MATCH(13,Data!$W$2:$W$60,0)),"")</f>
        <v/>
      </c>
      <c r="H24" s="12" t="str">
        <f aca="false">IFERROR(INDEX(Data!$O$2:$O$60,MATCH(13,Data!$W$2:$W$60,0))&amp;" / "&amp;INDEX(Data!$R$2:$R$60,MATCH(13,Data!$W$2:$W$60,0)),"")</f>
        <v/>
      </c>
    </row>
    <row r="25" customFormat="false" ht="15" hidden="false" customHeight="false" outlineLevel="0" collapsed="false">
      <c r="B25" s="27" t="str">
        <f aca="false">IFERROR(INDEX(Data!$K$2:$K$60,MATCH(14,Data!$W$2:$W$60,0)),"")</f>
        <v/>
      </c>
      <c r="C25" s="28" t="str">
        <f aca="false">IFERROR(INDEX(Data!$D$2:$D$60,MATCH(14,Data!$W$2:$W$60,0)),"")</f>
        <v/>
      </c>
      <c r="D25" s="16" t="str">
        <f aca="false">IFERROR(INDEX(Data!$B$2:$B$60,MATCH(14,Data!$W$2:$W$60,0)),"")</f>
        <v/>
      </c>
      <c r="E25" s="16" t="str">
        <f aca="false">IFERROR(INDEX(Data!$C$2:$C$60,MATCH(14,Data!$W$2:$W$60,0)),"")</f>
        <v/>
      </c>
      <c r="F25" s="17" t="str">
        <f aca="false">IFERROR(INDEX(Data!$G$2:$G$60,MATCH(14,Data!$W$2:$W$60,0)),"")</f>
        <v/>
      </c>
      <c r="G25" s="28" t="str">
        <f aca="false">IFERROR(INDEX(Data!$V$2:$V$60,MATCH(14,Data!$W$2:$W$60,0)),"")</f>
        <v/>
      </c>
      <c r="H25" s="16" t="str">
        <f aca="false">IFERROR(INDEX(Data!$O$2:$O$60,MATCH(14,Data!$W$2:$W$60,0))&amp;" / "&amp;INDEX(Data!$R$2:$R$60,MATCH(14,Data!$W$2:$W$60,0)),"")</f>
        <v/>
      </c>
    </row>
    <row r="26" customFormat="false" ht="15" hidden="false" customHeight="false" outlineLevel="0" collapsed="false">
      <c r="B26" s="25" t="str">
        <f aca="false">IFERROR(INDEX(Data!$K$2:$K$60,MATCH(15,Data!$W$2:$W$60,0)),"")</f>
        <v/>
      </c>
      <c r="C26" s="26" t="str">
        <f aca="false">IFERROR(INDEX(Data!$D$2:$D$60,MATCH(15,Data!$W$2:$W$60,0)),"")</f>
        <v/>
      </c>
      <c r="D26" s="12" t="str">
        <f aca="false">IFERROR(INDEX(Data!$B$2:$B$60,MATCH(15,Data!$W$2:$W$60,0)),"")</f>
        <v/>
      </c>
      <c r="E26" s="12" t="str">
        <f aca="false">IFERROR(INDEX(Data!$C$2:$C$60,MATCH(15,Data!$W$2:$W$60,0)),"")</f>
        <v/>
      </c>
      <c r="F26" s="13" t="str">
        <f aca="false">IFERROR(INDEX(Data!$G$2:$G$60,MATCH(15,Data!$W$2:$W$60,0)),"")</f>
        <v/>
      </c>
      <c r="G26" s="26" t="str">
        <f aca="false">IFERROR(INDEX(Data!$V$2:$V$60,MATCH(15,Data!$W$2:$W$60,0)),"")</f>
        <v/>
      </c>
      <c r="H26" s="12" t="str">
        <f aca="false">IFERROR(INDEX(Data!$O$2:$O$60,MATCH(15,Data!$W$2:$W$60,0))&amp;" / "&amp;INDEX(Data!$R$2:$R$60,MATCH(15,Data!$W$2:$W$60,0)),"")</f>
        <v/>
      </c>
    </row>
    <row r="27" customFormat="false" ht="15" hidden="false" customHeight="false" outlineLevel="0" collapsed="false">
      <c r="B27" s="27" t="str">
        <f aca="false">IFERROR(INDEX(Data!$K$2:$K$60,MATCH(16,Data!$W$2:$W$60,0)),"")</f>
        <v/>
      </c>
      <c r="C27" s="28" t="str">
        <f aca="false">IFERROR(INDEX(Data!$D$2:$D$60,MATCH(16,Data!$W$2:$W$60,0)),"")</f>
        <v/>
      </c>
      <c r="D27" s="16" t="str">
        <f aca="false">IFERROR(INDEX(Data!$B$2:$B$60,MATCH(16,Data!$W$2:$W$60,0)),"")</f>
        <v/>
      </c>
      <c r="E27" s="16" t="str">
        <f aca="false">IFERROR(INDEX(Data!$C$2:$C$60,MATCH(16,Data!$W$2:$W$60,0)),"")</f>
        <v/>
      </c>
      <c r="F27" s="17" t="str">
        <f aca="false">IFERROR(INDEX(Data!$G$2:$G$60,MATCH(16,Data!$W$2:$W$60,0)),"")</f>
        <v/>
      </c>
      <c r="G27" s="28" t="str">
        <f aca="false">IFERROR(INDEX(Data!$V$2:$V$60,MATCH(16,Data!$W$2:$W$60,0)),"")</f>
        <v/>
      </c>
      <c r="H27" s="16" t="str">
        <f aca="false">IFERROR(INDEX(Data!$O$2:$O$60,MATCH(16,Data!$W$2:$W$60,0))&amp;" / "&amp;INDEX(Data!$R$2:$R$60,MATCH(16,Data!$W$2:$W$60,0)),"")</f>
        <v/>
      </c>
    </row>
    <row r="28" customFormat="false" ht="15" hidden="false" customHeight="false" outlineLevel="0" collapsed="false">
      <c r="B28" s="25" t="str">
        <f aca="false">IFERROR(INDEX(Data!$K$2:$K$60,MATCH(17,Data!$W$2:$W$60,0)),"")</f>
        <v/>
      </c>
      <c r="C28" s="26" t="str">
        <f aca="false">IFERROR(INDEX(Data!$D$2:$D$60,MATCH(17,Data!$W$2:$W$60,0)),"")</f>
        <v/>
      </c>
      <c r="D28" s="12" t="str">
        <f aca="false">IFERROR(INDEX(Data!$B$2:$B$60,MATCH(17,Data!$W$2:$W$60,0)),"")</f>
        <v/>
      </c>
      <c r="E28" s="12" t="str">
        <f aca="false">IFERROR(INDEX(Data!$C$2:$C$60,MATCH(17,Data!$W$2:$W$60,0)),"")</f>
        <v/>
      </c>
      <c r="F28" s="13" t="str">
        <f aca="false">IFERROR(INDEX(Data!$G$2:$G$60,MATCH(17,Data!$W$2:$W$60,0)),"")</f>
        <v/>
      </c>
      <c r="G28" s="26" t="str">
        <f aca="false">IFERROR(INDEX(Data!$V$2:$V$60,MATCH(17,Data!$W$2:$W$60,0)),"")</f>
        <v/>
      </c>
      <c r="H28" s="12" t="str">
        <f aca="false">IFERROR(INDEX(Data!$O$2:$O$60,MATCH(17,Data!$W$2:$W$60,0))&amp;" / "&amp;INDEX(Data!$R$2:$R$60,MATCH(17,Data!$W$2:$W$60,0)),"")</f>
        <v/>
      </c>
    </row>
    <row r="29" customFormat="false" ht="15" hidden="false" customHeight="false" outlineLevel="0" collapsed="false">
      <c r="B29" s="27" t="str">
        <f aca="false">IFERROR(INDEX(Data!$K$2:$K$60,MATCH(18,Data!$W$2:$W$60,0)),"")</f>
        <v/>
      </c>
      <c r="C29" s="28" t="str">
        <f aca="false">IFERROR(INDEX(Data!$D$2:$D$60,MATCH(18,Data!$W$2:$W$60,0)),"")</f>
        <v/>
      </c>
      <c r="D29" s="16" t="str">
        <f aca="false">IFERROR(INDEX(Data!$B$2:$B$60,MATCH(18,Data!$W$2:$W$60,0)),"")</f>
        <v/>
      </c>
      <c r="E29" s="16" t="str">
        <f aca="false">IFERROR(INDEX(Data!$C$2:$C$60,MATCH(18,Data!$W$2:$W$60,0)),"")</f>
        <v/>
      </c>
      <c r="F29" s="17" t="str">
        <f aca="false">IFERROR(INDEX(Data!$G$2:$G$60,MATCH(18,Data!$W$2:$W$60,0)),"")</f>
        <v/>
      </c>
      <c r="G29" s="28" t="str">
        <f aca="false">IFERROR(INDEX(Data!$V$2:$V$60,MATCH(18,Data!$W$2:$W$60,0)),"")</f>
        <v/>
      </c>
      <c r="H29" s="16" t="str">
        <f aca="false">IFERROR(INDEX(Data!$O$2:$O$60,MATCH(18,Data!$W$2:$W$60,0))&amp;" / "&amp;INDEX(Data!$R$2:$R$60,MATCH(18,Data!$W$2:$W$60,0)),"")</f>
        <v/>
      </c>
    </row>
    <row r="30" customFormat="false" ht="15" hidden="false" customHeight="false" outlineLevel="0" collapsed="false">
      <c r="B30" s="25" t="str">
        <f aca="false">IFERROR(INDEX(Data!$K$2:$K$60,MATCH(19,Data!$W$2:$W$60,0)),"")</f>
        <v/>
      </c>
      <c r="C30" s="26" t="str">
        <f aca="false">IFERROR(INDEX(Data!$D$2:$D$60,MATCH(19,Data!$W$2:$W$60,0)),"")</f>
        <v/>
      </c>
      <c r="D30" s="12" t="str">
        <f aca="false">IFERROR(INDEX(Data!$B$2:$B$60,MATCH(19,Data!$W$2:$W$60,0)),"")</f>
        <v/>
      </c>
      <c r="E30" s="12" t="str">
        <f aca="false">IFERROR(INDEX(Data!$C$2:$C$60,MATCH(19,Data!$W$2:$W$60,0)),"")</f>
        <v/>
      </c>
      <c r="F30" s="13" t="str">
        <f aca="false">IFERROR(INDEX(Data!$G$2:$G$60,MATCH(19,Data!$W$2:$W$60,0)),"")</f>
        <v/>
      </c>
      <c r="G30" s="26" t="str">
        <f aca="false">IFERROR(INDEX(Data!$V$2:$V$60,MATCH(19,Data!$W$2:$W$60,0)),"")</f>
        <v/>
      </c>
      <c r="H30" s="12" t="str">
        <f aca="false">IFERROR(INDEX(Data!$O$2:$O$60,MATCH(19,Data!$W$2:$W$60,0))&amp;" / "&amp;INDEX(Data!$R$2:$R$60,MATCH(19,Data!$W$2:$W$60,0)),"")</f>
        <v/>
      </c>
    </row>
    <row r="31" customFormat="false" ht="15" hidden="false" customHeight="false" outlineLevel="0" collapsed="false">
      <c r="B31" s="27" t="str">
        <f aca="false">IFERROR(INDEX(Data!$K$2:$K$60,MATCH(20,Data!$W$2:$W$60,0)),"")</f>
        <v/>
      </c>
      <c r="C31" s="28" t="str">
        <f aca="false">IFERROR(INDEX(Data!$D$2:$D$60,MATCH(20,Data!$W$2:$W$60,0)),"")</f>
        <v/>
      </c>
      <c r="D31" s="16" t="str">
        <f aca="false">IFERROR(INDEX(Data!$B$2:$B$60,MATCH(20,Data!$W$2:$W$60,0)),"")</f>
        <v/>
      </c>
      <c r="E31" s="16" t="str">
        <f aca="false">IFERROR(INDEX(Data!$C$2:$C$60,MATCH(20,Data!$W$2:$W$60,0)),"")</f>
        <v/>
      </c>
      <c r="F31" s="17" t="str">
        <f aca="false">IFERROR(INDEX(Data!$G$2:$G$60,MATCH(20,Data!$W$2:$W$60,0)),"")</f>
        <v/>
      </c>
      <c r="G31" s="28" t="str">
        <f aca="false">IFERROR(INDEX(Data!$V$2:$V$60,MATCH(20,Data!$W$2:$W$60,0)),"")</f>
        <v/>
      </c>
      <c r="H31" s="16" t="str">
        <f aca="false">IFERROR(INDEX(Data!$O$2:$O$60,MATCH(20,Data!$W$2:$W$60,0))&amp;" / "&amp;INDEX(Data!$R$2:$R$60,MATCH(20,Data!$W$2:$W$60,0)),"")</f>
        <v/>
      </c>
    </row>
  </sheetData>
  <mergeCells count="9">
    <mergeCell ref="B2:I2"/>
    <mergeCell ref="B3:I3"/>
    <mergeCell ref="B5:C5"/>
    <mergeCell ref="D5:E5"/>
    <mergeCell ref="F5:G5"/>
    <mergeCell ref="B6:C7"/>
    <mergeCell ref="D6:E7"/>
    <mergeCell ref="F6:G7"/>
    <mergeCell ref="B10:H10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A8E"/>
    <pageSetUpPr fitToPage="false"/>
  </sheetPr>
  <dimension ref="A1:Y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7" min="17" style="0" width="7"/>
    <col collapsed="false" customWidth="true" hidden="false" outlineLevel="0" max="19" min="18" style="0" width="10"/>
    <col collapsed="false" customWidth="true" hidden="false" outlineLevel="0" max="20" min="20" style="0" width="7"/>
    <col collapsed="false" customWidth="true" hidden="true" outlineLevel="0" max="21" min="21" style="0" width="11"/>
    <col collapsed="false" customWidth="true" hidden="true" outlineLevel="0" max="22" min="22" style="0" width="9"/>
    <col collapsed="false" customWidth="true" hidden="true" outlineLevel="0" max="23" min="23" style="0" width="7"/>
  </cols>
  <sheetData>
    <row r="1" customFormat="false" ht="25.5" hidden="false" customHeight="true" outlineLevel="0" collapsed="false">
      <c r="A1" s="29" t="s">
        <v>60</v>
      </c>
      <c r="B1" s="29" t="s">
        <v>14</v>
      </c>
      <c r="C1" s="29" t="s">
        <v>15</v>
      </c>
      <c r="D1" s="29" t="s">
        <v>56</v>
      </c>
      <c r="E1" s="29" t="s">
        <v>61</v>
      </c>
      <c r="F1" s="29" t="s">
        <v>62</v>
      </c>
      <c r="G1" s="29" t="s">
        <v>57</v>
      </c>
      <c r="H1" s="29" t="s">
        <v>63</v>
      </c>
      <c r="I1" s="29" t="s">
        <v>13</v>
      </c>
      <c r="J1" s="29" t="s">
        <v>64</v>
      </c>
      <c r="K1" s="29" t="s">
        <v>65</v>
      </c>
      <c r="L1" s="29" t="s">
        <v>66</v>
      </c>
      <c r="M1" s="29" t="s">
        <v>67</v>
      </c>
      <c r="N1" s="29" t="s">
        <v>68</v>
      </c>
      <c r="O1" s="30" t="s">
        <v>69</v>
      </c>
      <c r="P1" s="30" t="s">
        <v>70</v>
      </c>
      <c r="Q1" s="30" t="s">
        <v>71</v>
      </c>
      <c r="R1" s="30" t="s">
        <v>72</v>
      </c>
      <c r="S1" s="30" t="s">
        <v>73</v>
      </c>
      <c r="T1" s="30" t="s">
        <v>74</v>
      </c>
      <c r="U1" s="29" t="s">
        <v>75</v>
      </c>
      <c r="V1" s="29" t="s">
        <v>58</v>
      </c>
      <c r="W1" s="29" t="s">
        <v>76</v>
      </c>
      <c r="Y1" s="31" t="s">
        <v>77</v>
      </c>
    </row>
    <row r="2" customFormat="false" ht="15" hidden="false" customHeight="true" outlineLevel="0" collapsed="false">
      <c r="A2" s="32" t="n">
        <v>1</v>
      </c>
      <c r="B2" s="32" t="s">
        <v>32</v>
      </c>
      <c r="C2" s="32" t="s">
        <v>78</v>
      </c>
      <c r="D2" s="33" t="n">
        <v>2014</v>
      </c>
      <c r="E2" s="34" t="s">
        <v>79</v>
      </c>
      <c r="F2" s="32" t="str">
        <f aca="false">IF($B2="","",IF($H2="","In Inventory","Sold"))</f>
        <v>In Inventory</v>
      </c>
      <c r="G2" s="35" t="n">
        <v>2500</v>
      </c>
      <c r="H2" s="35"/>
      <c r="I2" s="35" t="str">
        <f aca="false">IF(OR($B2="",$H2=""),"",$H2-$G2)</f>
        <v/>
      </c>
      <c r="J2" s="33" t="str">
        <f aca="false">IF(OR($H2="",$L2="",$K2=""),"",$L2-$K2)</f>
        <v/>
      </c>
      <c r="K2" s="36" t="n">
        <v>46176</v>
      </c>
      <c r="L2" s="36"/>
      <c r="M2" s="32"/>
      <c r="N2" s="32"/>
      <c r="O2" s="32" t="s">
        <v>80</v>
      </c>
      <c r="P2" s="35" t="n">
        <f aca="false">IF($B2="","",$G2/2)</f>
        <v>1250</v>
      </c>
      <c r="Q2" s="37" t="n">
        <f aca="false">IF($B2="","",IFERROR(N($P2)/(N($P2)+N($S2)),""))</f>
        <v>0.5</v>
      </c>
      <c r="R2" s="32" t="s">
        <v>81</v>
      </c>
      <c r="S2" s="35" t="n">
        <f aca="false">IF($B2="","",$G2/2)</f>
        <v>1250</v>
      </c>
      <c r="T2" s="37" t="n">
        <f aca="false">IF($B2="","",IFERROR(N($S2)/(N($P2)+N($S2)),""))</f>
        <v>0.5</v>
      </c>
      <c r="U2" s="32" t="str">
        <f aca="false">IF($L2="","",TEXT($L2,"YYYY-MM"))</f>
        <v/>
      </c>
      <c r="V2" s="33" t="n">
        <f aca="true">IF(OR($B2="",$H2&lt;&gt;""),"",TODAY()-$K2)</f>
        <v>9</v>
      </c>
      <c r="W2" s="32" t="n">
        <f aca="false">IF($F2="In Inventory",COUNTIF($F$2:$F2,"In Inventory"),"")</f>
        <v>1</v>
      </c>
    </row>
    <row r="3" customFormat="false" ht="15" hidden="false" customHeight="true" outlineLevel="0" collapsed="false">
      <c r="A3" s="12" t="n">
        <v>2</v>
      </c>
      <c r="B3" s="12" t="s">
        <v>32</v>
      </c>
      <c r="C3" s="12" t="s">
        <v>78</v>
      </c>
      <c r="D3" s="26" t="n">
        <v>2015</v>
      </c>
      <c r="E3" s="38" t="s">
        <v>79</v>
      </c>
      <c r="F3" s="12" t="str">
        <f aca="false">IF($B3="","",IF($H3="","In Inventory","Sold"))</f>
        <v>In Inventory</v>
      </c>
      <c r="G3" s="39" t="n">
        <v>2400</v>
      </c>
      <c r="H3" s="39"/>
      <c r="I3" s="39" t="str">
        <f aca="false">IF(OR($B3="",$H3=""),"",$H3-$G3)</f>
        <v/>
      </c>
      <c r="J3" s="26" t="str">
        <f aca="false">IF(OR($H3="",$L3="",$K3=""),"",$L3-$K3)</f>
        <v/>
      </c>
      <c r="K3" s="25" t="n">
        <v>46158</v>
      </c>
      <c r="L3" s="25"/>
      <c r="M3" s="12"/>
      <c r="N3" s="12"/>
      <c r="O3" s="12" t="s">
        <v>80</v>
      </c>
      <c r="P3" s="39" t="n">
        <f aca="false">IF($B3="","",$G3/2)</f>
        <v>1200</v>
      </c>
      <c r="Q3" s="40" t="n">
        <f aca="false">IF($B3="","",IFERROR(N($P3)/(N($P3)+N($S3)),""))</f>
        <v>0.5</v>
      </c>
      <c r="R3" s="12" t="s">
        <v>81</v>
      </c>
      <c r="S3" s="39" t="n">
        <f aca="false">IF($B3="","",$G3/2)</f>
        <v>1200</v>
      </c>
      <c r="T3" s="40" t="n">
        <f aca="false">IF($B3="","",IFERROR(N($S3)/(N($P3)+N($S3)),""))</f>
        <v>0.5</v>
      </c>
      <c r="U3" s="12" t="str">
        <f aca="false">IF($L3="","",TEXT($L3,"YYYY-MM"))</f>
        <v/>
      </c>
      <c r="V3" s="26" t="n">
        <f aca="true">IF(OR($B3="",$H3&lt;&gt;""),"",TODAY()-$K3)</f>
        <v>27</v>
      </c>
      <c r="W3" s="12" t="n">
        <f aca="false">IF($F3="In Inventory",COUNTIF($F$2:$F3,"In Inventory"),"")</f>
        <v>2</v>
      </c>
    </row>
    <row r="4" customFormat="false" ht="15" hidden="false" customHeight="true" outlineLevel="0" collapsed="false">
      <c r="A4" s="32" t="n">
        <v>3</v>
      </c>
      <c r="B4" s="32" t="s">
        <v>32</v>
      </c>
      <c r="C4" s="32" t="s">
        <v>82</v>
      </c>
      <c r="D4" s="33" t="n">
        <v>2021</v>
      </c>
      <c r="E4" s="34" t="s">
        <v>79</v>
      </c>
      <c r="F4" s="32" t="str">
        <f aca="false">IF($B4="","",IF($H4="","In Inventory","Sold"))</f>
        <v>In Inventory</v>
      </c>
      <c r="G4" s="35" t="n">
        <v>4800</v>
      </c>
      <c r="H4" s="35"/>
      <c r="I4" s="35" t="str">
        <f aca="false">IF(OR($B4="",$H4=""),"",$H4-$G4)</f>
        <v/>
      </c>
      <c r="J4" s="33" t="str">
        <f aca="false">IF(OR($H4="",$L4="",$K4=""),"",$L4-$K4)</f>
        <v/>
      </c>
      <c r="K4" s="36" t="n">
        <v>46151</v>
      </c>
      <c r="L4" s="36"/>
      <c r="M4" s="32"/>
      <c r="N4" s="32"/>
      <c r="O4" s="32" t="s">
        <v>80</v>
      </c>
      <c r="P4" s="35" t="n">
        <f aca="false">IF($B4="","",$G4/2)</f>
        <v>2400</v>
      </c>
      <c r="Q4" s="37" t="n">
        <f aca="false">IF($B4="","",IFERROR(N($P4)/(N($P4)+N($S4)),""))</f>
        <v>0.5</v>
      </c>
      <c r="R4" s="32" t="s">
        <v>81</v>
      </c>
      <c r="S4" s="35" t="n">
        <f aca="false">IF($B4="","",$G4/2)</f>
        <v>2400</v>
      </c>
      <c r="T4" s="37" t="n">
        <f aca="false">IF($B4="","",IFERROR(N($S4)/(N($P4)+N($S4)),""))</f>
        <v>0.5</v>
      </c>
      <c r="U4" s="32" t="str">
        <f aca="false">IF($L4="","",TEXT($L4,"YYYY-MM"))</f>
        <v/>
      </c>
      <c r="V4" s="33" t="n">
        <f aca="true">IF(OR($B4="",$H4&lt;&gt;""),"",TODAY()-$K4)</f>
        <v>34</v>
      </c>
      <c r="W4" s="32" t="n">
        <f aca="false">IF($F4="In Inventory",COUNTIF($F$2:$F4,"In Inventory"),"")</f>
        <v>3</v>
      </c>
    </row>
    <row r="5" customFormat="false" ht="15" hidden="false" customHeight="true" outlineLevel="0" collapsed="false">
      <c r="A5" s="12" t="n">
        <v>4</v>
      </c>
      <c r="B5" s="12" t="s">
        <v>32</v>
      </c>
      <c r="C5" s="12" t="s">
        <v>83</v>
      </c>
      <c r="D5" s="26" t="n">
        <v>2024</v>
      </c>
      <c r="E5" s="38" t="s">
        <v>79</v>
      </c>
      <c r="F5" s="12" t="str">
        <f aca="false">IF($B5="","",IF($H5="","In Inventory","Sold"))</f>
        <v>Sold</v>
      </c>
      <c r="G5" s="39" t="n">
        <v>8500</v>
      </c>
      <c r="H5" s="39" t="n">
        <v>9400</v>
      </c>
      <c r="I5" s="39" t="n">
        <f aca="false">IF(OR($B5="",$H5=""),"",$H5-$G5)</f>
        <v>900</v>
      </c>
      <c r="J5" s="26" t="n">
        <f aca="false">IF(OR($H5="",$L5="",$K5=""),"",$L5-$K5)</f>
        <v>18</v>
      </c>
      <c r="K5" s="25" t="n">
        <v>46144</v>
      </c>
      <c r="L5" s="25" t="n">
        <v>46162</v>
      </c>
      <c r="M5" s="12"/>
      <c r="N5" s="12"/>
      <c r="O5" s="12" t="s">
        <v>80</v>
      </c>
      <c r="P5" s="39" t="n">
        <f aca="false">IF($B5="","",$G5/2)</f>
        <v>4250</v>
      </c>
      <c r="Q5" s="40" t="n">
        <f aca="false">IF($B5="","",IFERROR(N($P5)/(N($P5)+N($S5)),""))</f>
        <v>0.5</v>
      </c>
      <c r="R5" s="12" t="s">
        <v>81</v>
      </c>
      <c r="S5" s="39" t="n">
        <f aca="false">IF($B5="","",$G5/2)</f>
        <v>4250</v>
      </c>
      <c r="T5" s="40" t="n">
        <f aca="false">IF($B5="","",IFERROR(N($S5)/(N($P5)+N($S5)),""))</f>
        <v>0.5</v>
      </c>
      <c r="U5" s="12" t="str">
        <f aca="false">IF($L5="","",TEXT($L5,"YYYY-MM"))</f>
        <v>2026-05</v>
      </c>
      <c r="V5" s="26" t="str">
        <f aca="true">IF(OR($B5="",$H5&lt;&gt;""),"",TODAY()-$K5)</f>
        <v/>
      </c>
      <c r="W5" s="12" t="str">
        <f aca="false">IF($F5="In Inventory",COUNTIF($F$2:$F5,"In Inventory"),"")</f>
        <v/>
      </c>
    </row>
    <row r="6" customFormat="false" ht="15" hidden="false" customHeight="true" outlineLevel="0" collapsed="false">
      <c r="A6" s="32" t="n">
        <v>5</v>
      </c>
      <c r="B6" s="32" t="s">
        <v>38</v>
      </c>
      <c r="C6" s="32" t="s">
        <v>84</v>
      </c>
      <c r="D6" s="33" t="n">
        <v>2015</v>
      </c>
      <c r="E6" s="34" t="s">
        <v>79</v>
      </c>
      <c r="F6" s="32" t="str">
        <f aca="false">IF($B6="","",IF($H6="","In Inventory","Sold"))</f>
        <v>In Inventory</v>
      </c>
      <c r="G6" s="35" t="n">
        <v>2500</v>
      </c>
      <c r="H6" s="35"/>
      <c r="I6" s="35" t="str">
        <f aca="false">IF(OR($B6="",$H6=""),"",$H6-$G6)</f>
        <v/>
      </c>
      <c r="J6" s="33" t="str">
        <f aca="false">IF(OR($H6="",$L6="",$K6=""),"",$L6-$K6)</f>
        <v/>
      </c>
      <c r="K6" s="36" t="n">
        <v>46132</v>
      </c>
      <c r="L6" s="36"/>
      <c r="M6" s="32"/>
      <c r="N6" s="32"/>
      <c r="O6" s="32" t="s">
        <v>80</v>
      </c>
      <c r="P6" s="35" t="n">
        <f aca="false">IF($B6="","",$G6/2)</f>
        <v>1250</v>
      </c>
      <c r="Q6" s="37" t="n">
        <f aca="false">IF($B6="","",IFERROR(N($P6)/(N($P6)+N($S6)),""))</f>
        <v>0.5</v>
      </c>
      <c r="R6" s="32" t="s">
        <v>81</v>
      </c>
      <c r="S6" s="35" t="n">
        <f aca="false">IF($B6="","",$G6/2)</f>
        <v>1250</v>
      </c>
      <c r="T6" s="37" t="n">
        <f aca="false">IF($B6="","",IFERROR(N($S6)/(N($P6)+N($S6)),""))</f>
        <v>0.5</v>
      </c>
      <c r="U6" s="32" t="str">
        <f aca="false">IF($L6="","",TEXT($L6,"YYYY-MM"))</f>
        <v/>
      </c>
      <c r="V6" s="33" t="n">
        <f aca="true">IF(OR($B6="",$H6&lt;&gt;""),"",TODAY()-$K6)</f>
        <v>53</v>
      </c>
      <c r="W6" s="32" t="n">
        <f aca="false">IF($F6="In Inventory",COUNTIF($F$2:$F6,"In Inventory"),"")</f>
        <v>4</v>
      </c>
    </row>
    <row r="7" customFormat="false" ht="15" hidden="false" customHeight="true" outlineLevel="0" collapsed="false">
      <c r="A7" s="12" t="n">
        <v>6</v>
      </c>
      <c r="B7" s="12" t="s">
        <v>38</v>
      </c>
      <c r="C7" s="12" t="s">
        <v>84</v>
      </c>
      <c r="D7" s="26" t="n">
        <v>2024</v>
      </c>
      <c r="E7" s="38" t="s">
        <v>79</v>
      </c>
      <c r="F7" s="12" t="str">
        <f aca="false">IF($B7="","",IF($H7="","In Inventory","Sold"))</f>
        <v>Sold</v>
      </c>
      <c r="G7" s="39" t="n">
        <v>3700</v>
      </c>
      <c r="H7" s="39" t="n">
        <v>4600</v>
      </c>
      <c r="I7" s="39" t="n">
        <f aca="false">IF(OR($B7="",$H7=""),"",$H7-$G7)</f>
        <v>900</v>
      </c>
      <c r="J7" s="26" t="n">
        <f aca="false">IF(OR($H7="",$L7="",$K7=""),"",$L7-$K7)</f>
        <v>12</v>
      </c>
      <c r="K7" s="25" t="n">
        <v>46124</v>
      </c>
      <c r="L7" s="25" t="n">
        <v>46136</v>
      </c>
      <c r="M7" s="12"/>
      <c r="N7" s="12"/>
      <c r="O7" s="12" t="s">
        <v>80</v>
      </c>
      <c r="P7" s="39" t="n">
        <f aca="false">IF($B7="","",$G7/2)</f>
        <v>1850</v>
      </c>
      <c r="Q7" s="40" t="n">
        <f aca="false">IF($B7="","",IFERROR(N($P7)/(N($P7)+N($S7)),""))</f>
        <v>0.5</v>
      </c>
      <c r="R7" s="12" t="s">
        <v>81</v>
      </c>
      <c r="S7" s="39" t="n">
        <f aca="false">IF($B7="","",$G7/2)</f>
        <v>1850</v>
      </c>
      <c r="T7" s="40" t="n">
        <f aca="false">IF($B7="","",IFERROR(N($S7)/(N($P7)+N($S7)),""))</f>
        <v>0.5</v>
      </c>
      <c r="U7" s="12" t="str">
        <f aca="false">IF($L7="","",TEXT($L7,"YYYY-MM"))</f>
        <v>2026-04</v>
      </c>
      <c r="V7" s="26" t="str">
        <f aca="true">IF(OR($B7="",$H7&lt;&gt;""),"",TODAY()-$K7)</f>
        <v/>
      </c>
      <c r="W7" s="12" t="str">
        <f aca="false">IF($F7="In Inventory",COUNTIF($F$2:$F7,"In Inventory"),"")</f>
        <v/>
      </c>
    </row>
    <row r="8" customFormat="false" ht="15" hidden="false" customHeight="true" outlineLevel="0" collapsed="false">
      <c r="A8" s="32" t="n">
        <v>7</v>
      </c>
      <c r="B8" s="32" t="s">
        <v>32</v>
      </c>
      <c r="C8" s="32" t="s">
        <v>78</v>
      </c>
      <c r="D8" s="33" t="n">
        <v>2015</v>
      </c>
      <c r="E8" s="34" t="s">
        <v>79</v>
      </c>
      <c r="F8" s="32" t="str">
        <f aca="false">IF($B8="","",IF($H8="","In Inventory","Sold"))</f>
        <v>Sold</v>
      </c>
      <c r="G8" s="35" t="n">
        <v>2600</v>
      </c>
      <c r="H8" s="35" t="n">
        <v>3600</v>
      </c>
      <c r="I8" s="35" t="n">
        <f aca="false">IF(OR($B8="",$H8=""),"",$H8-$G8)</f>
        <v>1000</v>
      </c>
      <c r="J8" s="33" t="n">
        <f aca="false">IF(OR($H8="",$L8="",$K8=""),"",$L8-$K8)</f>
        <v>10</v>
      </c>
      <c r="K8" s="36" t="n">
        <v>46116</v>
      </c>
      <c r="L8" s="36" t="n">
        <v>46126</v>
      </c>
      <c r="M8" s="32"/>
      <c r="N8" s="32"/>
      <c r="O8" s="32" t="s">
        <v>80</v>
      </c>
      <c r="P8" s="35" t="n">
        <f aca="false">IF($B8="","",$G8/2)</f>
        <v>1300</v>
      </c>
      <c r="Q8" s="37" t="n">
        <f aca="false">IF($B8="","",IFERROR(N($P8)/(N($P8)+N($S8)),""))</f>
        <v>0.5</v>
      </c>
      <c r="R8" s="32" t="s">
        <v>81</v>
      </c>
      <c r="S8" s="35" t="n">
        <f aca="false">IF($B8="","",$G8/2)</f>
        <v>1300</v>
      </c>
      <c r="T8" s="37" t="n">
        <f aca="false">IF($B8="","",IFERROR(N($S8)/(N($P8)+N($S8)),""))</f>
        <v>0.5</v>
      </c>
      <c r="U8" s="32" t="str">
        <f aca="false">IF($L8="","",TEXT($L8,"YYYY-MM"))</f>
        <v>2026-04</v>
      </c>
      <c r="V8" s="33" t="str">
        <f aca="true">IF(OR($B8="",$H8&lt;&gt;""),"",TODAY()-$K8)</f>
        <v/>
      </c>
      <c r="W8" s="32" t="str">
        <f aca="false">IF($F8="In Inventory",COUNTIF($F$2:$F8,"In Inventory"),"")</f>
        <v/>
      </c>
    </row>
    <row r="9" customFormat="false" ht="15" hidden="false" customHeight="true" outlineLevel="0" collapsed="false">
      <c r="A9" s="12" t="n">
        <v>8</v>
      </c>
      <c r="B9" s="12" t="s">
        <v>20</v>
      </c>
      <c r="C9" s="12" t="s">
        <v>85</v>
      </c>
      <c r="D9" s="26" t="n">
        <v>2023</v>
      </c>
      <c r="E9" s="38" t="s">
        <v>79</v>
      </c>
      <c r="F9" s="12" t="str">
        <f aca="false">IF($B9="","",IF($H9="","In Inventory","Sold"))</f>
        <v>Sold</v>
      </c>
      <c r="G9" s="39" t="n">
        <v>2400</v>
      </c>
      <c r="H9" s="39" t="n">
        <v>3200</v>
      </c>
      <c r="I9" s="39" t="n">
        <f aca="false">IF(OR($B9="",$H9=""),"",$H9-$G9)</f>
        <v>800</v>
      </c>
      <c r="J9" s="26" t="n">
        <f aca="false">IF(OR($H9="",$L9="",$K9=""),"",$L9-$K9)</f>
        <v>13</v>
      </c>
      <c r="K9" s="25" t="n">
        <v>46105</v>
      </c>
      <c r="L9" s="25" t="n">
        <v>46118</v>
      </c>
      <c r="M9" s="12"/>
      <c r="N9" s="12"/>
      <c r="O9" s="12" t="s">
        <v>80</v>
      </c>
      <c r="P9" s="39" t="n">
        <f aca="false">IF($B9="","",$G9/2)</f>
        <v>1200</v>
      </c>
      <c r="Q9" s="40" t="n">
        <f aca="false">IF($B9="","",IFERROR(N($P9)/(N($P9)+N($S9)),""))</f>
        <v>0.5</v>
      </c>
      <c r="R9" s="12" t="s">
        <v>81</v>
      </c>
      <c r="S9" s="39" t="n">
        <f aca="false">IF($B9="","",$G9/2)</f>
        <v>1200</v>
      </c>
      <c r="T9" s="40" t="n">
        <f aca="false">IF($B9="","",IFERROR(N($S9)/(N($P9)+N($S9)),""))</f>
        <v>0.5</v>
      </c>
      <c r="U9" s="12" t="str">
        <f aca="false">IF($L9="","",TEXT($L9,"YYYY-MM"))</f>
        <v>2026-04</v>
      </c>
      <c r="V9" s="26" t="str">
        <f aca="true">IF(OR($B9="",$H9&lt;&gt;""),"",TODAY()-$K9)</f>
        <v/>
      </c>
      <c r="W9" s="12" t="str">
        <f aca="false">IF($F9="In Inventory",COUNTIF($F$2:$F9,"In Inventory"),"")</f>
        <v/>
      </c>
    </row>
    <row r="10" customFormat="false" ht="15" hidden="false" customHeight="true" outlineLevel="0" collapsed="false">
      <c r="A10" s="32" t="n">
        <v>9</v>
      </c>
      <c r="B10" s="32" t="s">
        <v>32</v>
      </c>
      <c r="C10" s="32" t="s">
        <v>86</v>
      </c>
      <c r="D10" s="33" t="n">
        <v>2025</v>
      </c>
      <c r="E10" s="34" t="s">
        <v>79</v>
      </c>
      <c r="F10" s="32" t="str">
        <f aca="false">IF($B10="","",IF($H10="","In Inventory","Sold"))</f>
        <v>Sold</v>
      </c>
      <c r="G10" s="35" t="n">
        <v>4100</v>
      </c>
      <c r="H10" s="35" t="n">
        <v>5000</v>
      </c>
      <c r="I10" s="35" t="n">
        <f aca="false">IF(OR($B10="",$H10=""),"",$H10-$G10)</f>
        <v>900</v>
      </c>
      <c r="J10" s="33" t="n">
        <f aca="false">IF(OR($H10="",$L10="",$K10=""),"",$L10-$K10)</f>
        <v>11</v>
      </c>
      <c r="K10" s="36" t="n">
        <v>46096</v>
      </c>
      <c r="L10" s="36" t="n">
        <v>46107</v>
      </c>
      <c r="M10" s="32"/>
      <c r="N10" s="32"/>
      <c r="O10" s="32" t="s">
        <v>80</v>
      </c>
      <c r="P10" s="35" t="n">
        <f aca="false">IF($B10="","",$G10/2)</f>
        <v>2050</v>
      </c>
      <c r="Q10" s="37" t="n">
        <f aca="false">IF($B10="","",IFERROR(N($P10)/(N($P10)+N($S10)),""))</f>
        <v>0.5</v>
      </c>
      <c r="R10" s="32" t="s">
        <v>81</v>
      </c>
      <c r="S10" s="35" t="n">
        <f aca="false">IF($B10="","",$G10/2)</f>
        <v>2050</v>
      </c>
      <c r="T10" s="37" t="n">
        <f aca="false">IF($B10="","",IFERROR(N($S10)/(N($P10)+N($S10)),""))</f>
        <v>0.5</v>
      </c>
      <c r="U10" s="32" t="str">
        <f aca="false">IF($L10="","",TEXT($L10,"YYYY-MM"))</f>
        <v>2026-03</v>
      </c>
      <c r="V10" s="33" t="str">
        <f aca="true">IF(OR($B10="",$H10&lt;&gt;""),"",TODAY()-$K10)</f>
        <v/>
      </c>
      <c r="W10" s="32" t="str">
        <f aca="false">IF($F10="In Inventory",COUNTIF($F$2:$F10,"In Inventory"),"")</f>
        <v/>
      </c>
    </row>
    <row r="11" customFormat="false" ht="15" hidden="false" customHeight="true" outlineLevel="0" collapsed="false">
      <c r="A11" s="12" t="n">
        <v>10</v>
      </c>
      <c r="B11" s="12" t="s">
        <v>32</v>
      </c>
      <c r="C11" s="12" t="s">
        <v>82</v>
      </c>
      <c r="D11" s="26" t="n">
        <v>2019</v>
      </c>
      <c r="E11" s="38" t="s">
        <v>79</v>
      </c>
      <c r="F11" s="12" t="str">
        <f aca="false">IF($B11="","",IF($H11="","In Inventory","Sold"))</f>
        <v>Sold</v>
      </c>
      <c r="G11" s="39" t="n">
        <v>2800</v>
      </c>
      <c r="H11" s="39" t="n">
        <v>4000</v>
      </c>
      <c r="I11" s="39" t="n">
        <f aca="false">IF(OR($B11="",$H11=""),"",$H11-$G11)</f>
        <v>1200</v>
      </c>
      <c r="J11" s="26" t="n">
        <f aca="false">IF(OR($H11="",$L11="",$K11=""),"",$L11-$K11)</f>
        <v>16</v>
      </c>
      <c r="K11" s="25" t="n">
        <v>46089</v>
      </c>
      <c r="L11" s="25" t="n">
        <v>46105</v>
      </c>
      <c r="M11" s="12"/>
      <c r="N11" s="12"/>
      <c r="O11" s="12" t="s">
        <v>80</v>
      </c>
      <c r="P11" s="39" t="n">
        <f aca="false">IF($B11="","",$G11/2)</f>
        <v>1400</v>
      </c>
      <c r="Q11" s="40" t="n">
        <f aca="false">IF($B11="","",IFERROR(N($P11)/(N($P11)+N($S11)),""))</f>
        <v>0.5</v>
      </c>
      <c r="R11" s="12" t="s">
        <v>81</v>
      </c>
      <c r="S11" s="39" t="n">
        <f aca="false">IF($B11="","",$G11/2)</f>
        <v>1400</v>
      </c>
      <c r="T11" s="40" t="n">
        <f aca="false">IF($B11="","",IFERROR(N($S11)/(N($P11)+N($S11)),""))</f>
        <v>0.5</v>
      </c>
      <c r="U11" s="12" t="str">
        <f aca="false">IF($L11="","",TEXT($L11,"YYYY-MM"))</f>
        <v>2026-03</v>
      </c>
      <c r="V11" s="26" t="str">
        <f aca="true">IF(OR($B11="",$H11&lt;&gt;""),"",TODAY()-$K11)</f>
        <v/>
      </c>
      <c r="W11" s="12" t="str">
        <f aca="false">IF($F11="In Inventory",COUNTIF($F$2:$F11,"In Inventory"),"")</f>
        <v/>
      </c>
    </row>
    <row r="12" customFormat="false" ht="15" hidden="false" customHeight="true" outlineLevel="0" collapsed="false">
      <c r="A12" s="32" t="n">
        <v>11</v>
      </c>
      <c r="B12" s="32" t="s">
        <v>32</v>
      </c>
      <c r="C12" s="32" t="s">
        <v>87</v>
      </c>
      <c r="D12" s="33" t="n">
        <v>2021</v>
      </c>
      <c r="E12" s="34" t="s">
        <v>79</v>
      </c>
      <c r="F12" s="32" t="str">
        <f aca="false">IF($B12="","",IF($H12="","In Inventory","Sold"))</f>
        <v>Sold</v>
      </c>
      <c r="G12" s="35" t="n">
        <v>3500</v>
      </c>
      <c r="H12" s="35" t="n">
        <v>4250</v>
      </c>
      <c r="I12" s="35" t="n">
        <f aca="false">IF(OR($B12="",$H12=""),"",$H12-$G12)</f>
        <v>750</v>
      </c>
      <c r="J12" s="33" t="n">
        <f aca="false">IF(OR($H12="",$L12="",$K12=""),"",$L12-$K12)</f>
        <v>9</v>
      </c>
      <c r="K12" s="36" t="n">
        <v>46084</v>
      </c>
      <c r="L12" s="36" t="n">
        <v>46093</v>
      </c>
      <c r="M12" s="32"/>
      <c r="N12" s="32"/>
      <c r="O12" s="32" t="s">
        <v>80</v>
      </c>
      <c r="P12" s="35" t="n">
        <f aca="false">IF($B12="","",$G12/2)</f>
        <v>1750</v>
      </c>
      <c r="Q12" s="37" t="n">
        <f aca="false">IF($B12="","",IFERROR(N($P12)/(N($P12)+N($S12)),""))</f>
        <v>0.5</v>
      </c>
      <c r="R12" s="32" t="s">
        <v>81</v>
      </c>
      <c r="S12" s="35" t="n">
        <f aca="false">IF($B12="","",$G12/2)</f>
        <v>1750</v>
      </c>
      <c r="T12" s="37" t="n">
        <f aca="false">IF($B12="","",IFERROR(N($S12)/(N($P12)+N($S12)),""))</f>
        <v>0.5</v>
      </c>
      <c r="U12" s="32" t="str">
        <f aca="false">IF($L12="","",TEXT($L12,"YYYY-MM"))</f>
        <v>2026-03</v>
      </c>
      <c r="V12" s="33" t="str">
        <f aca="true">IF(OR($B12="",$H12&lt;&gt;""),"",TODAY()-$K12)</f>
        <v/>
      </c>
      <c r="W12" s="32" t="str">
        <f aca="false">IF($F12="In Inventory",COUNTIF($F$2:$F12,"In Inventory"),"")</f>
        <v/>
      </c>
    </row>
    <row r="13" customFormat="false" ht="15" hidden="false" customHeight="true" outlineLevel="0" collapsed="false">
      <c r="A13" s="12" t="n">
        <v>12</v>
      </c>
      <c r="B13" s="12" t="s">
        <v>32</v>
      </c>
      <c r="C13" s="12" t="s">
        <v>87</v>
      </c>
      <c r="D13" s="26" t="n">
        <v>2023</v>
      </c>
      <c r="E13" s="38" t="s">
        <v>79</v>
      </c>
      <c r="F13" s="12" t="str">
        <f aca="false">IF($B13="","",IF($H13="","In Inventory","Sold"))</f>
        <v>Sold</v>
      </c>
      <c r="G13" s="39" t="n">
        <v>3400</v>
      </c>
      <c r="H13" s="39" t="n">
        <v>4000</v>
      </c>
      <c r="I13" s="39" t="n">
        <f aca="false">IF(OR($B13="",$H13=""),"",$H13-$G13)</f>
        <v>600</v>
      </c>
      <c r="J13" s="26" t="n">
        <f aca="false">IF(OR($H13="",$L13="",$K13=""),"",$L13-$K13)</f>
        <v>14</v>
      </c>
      <c r="K13" s="25" t="n">
        <v>46071</v>
      </c>
      <c r="L13" s="25" t="n">
        <v>46085</v>
      </c>
      <c r="M13" s="12"/>
      <c r="N13" s="12"/>
      <c r="O13" s="12" t="s">
        <v>80</v>
      </c>
      <c r="P13" s="39" t="n">
        <f aca="false">IF($B13="","",$G13/2)</f>
        <v>1700</v>
      </c>
      <c r="Q13" s="40" t="n">
        <f aca="false">IF($B13="","",IFERROR(N($P13)/(N($P13)+N($S13)),""))</f>
        <v>0.5</v>
      </c>
      <c r="R13" s="12" t="s">
        <v>81</v>
      </c>
      <c r="S13" s="39" t="n">
        <f aca="false">IF($B13="","",$G13/2)</f>
        <v>1700</v>
      </c>
      <c r="T13" s="40" t="n">
        <f aca="false">IF($B13="","",IFERROR(N($S13)/(N($P13)+N($S13)),""))</f>
        <v>0.5</v>
      </c>
      <c r="U13" s="12" t="str">
        <f aca="false">IF($L13="","",TEXT($L13,"YYYY-MM"))</f>
        <v>2026-03</v>
      </c>
      <c r="V13" s="26" t="str">
        <f aca="true">IF(OR($B13="",$H13&lt;&gt;""),"",TODAY()-$K13)</f>
        <v/>
      </c>
      <c r="W13" s="12" t="str">
        <f aca="false">IF($F13="In Inventory",COUNTIF($F$2:$F13,"In Inventory"),"")</f>
        <v/>
      </c>
    </row>
    <row r="14" customFormat="false" ht="15" hidden="false" customHeight="true" outlineLevel="0" collapsed="false">
      <c r="A14" s="32" t="n">
        <v>13</v>
      </c>
      <c r="B14" s="32" t="s">
        <v>26</v>
      </c>
      <c r="C14" s="32" t="s">
        <v>88</v>
      </c>
      <c r="D14" s="33" t="n">
        <v>2017</v>
      </c>
      <c r="E14" s="34" t="s">
        <v>79</v>
      </c>
      <c r="F14" s="32" t="str">
        <f aca="false">IF($B14="","",IF($H14="","In Inventory","Sold"))</f>
        <v>Sold</v>
      </c>
      <c r="G14" s="35" t="n">
        <v>3700</v>
      </c>
      <c r="H14" s="35" t="n">
        <v>4200</v>
      </c>
      <c r="I14" s="35" t="n">
        <f aca="false">IF(OR($B14="",$H14=""),"",$H14-$G14)</f>
        <v>500</v>
      </c>
      <c r="J14" s="33" t="n">
        <f aca="false">IF(OR($H14="",$L14="",$K14=""),"",$L14-$K14)</f>
        <v>22</v>
      </c>
      <c r="K14" s="36" t="n">
        <v>46058</v>
      </c>
      <c r="L14" s="36" t="n">
        <v>46080</v>
      </c>
      <c r="M14" s="32"/>
      <c r="N14" s="32"/>
      <c r="O14" s="32" t="s">
        <v>80</v>
      </c>
      <c r="P14" s="35" t="n">
        <f aca="false">IF($B14="","",$G14/2)</f>
        <v>1850</v>
      </c>
      <c r="Q14" s="37" t="n">
        <f aca="false">IF($B14="","",IFERROR(N($P14)/(N($P14)+N($S14)),""))</f>
        <v>0.5</v>
      </c>
      <c r="R14" s="32" t="s">
        <v>81</v>
      </c>
      <c r="S14" s="35" t="n">
        <f aca="false">IF($B14="","",$G14/2)</f>
        <v>1850</v>
      </c>
      <c r="T14" s="37" t="n">
        <f aca="false">IF($B14="","",IFERROR(N($S14)/(N($P14)+N($S14)),""))</f>
        <v>0.5</v>
      </c>
      <c r="U14" s="32" t="str">
        <f aca="false">IF($L14="","",TEXT($L14,"YYYY-MM"))</f>
        <v>2026-02</v>
      </c>
      <c r="V14" s="33" t="str">
        <f aca="true">IF(OR($B14="",$H14&lt;&gt;""),"",TODAY()-$K14)</f>
        <v/>
      </c>
      <c r="W14" s="32" t="str">
        <f aca="false">IF($F14="In Inventory",COUNTIF($F$2:$F14,"In Inventory"),"")</f>
        <v/>
      </c>
    </row>
    <row r="15" customFormat="false" ht="15" hidden="false" customHeight="true" outlineLevel="0" collapsed="false">
      <c r="A15" s="12" t="n">
        <v>14</v>
      </c>
      <c r="B15" s="12" t="s">
        <v>32</v>
      </c>
      <c r="C15" s="12" t="s">
        <v>86</v>
      </c>
      <c r="D15" s="26" t="n">
        <v>2024</v>
      </c>
      <c r="E15" s="38" t="s">
        <v>79</v>
      </c>
      <c r="F15" s="12" t="str">
        <f aca="false">IF($B15="","",IF($H15="","In Inventory","Sold"))</f>
        <v>Sold</v>
      </c>
      <c r="G15" s="39" t="n">
        <v>4000</v>
      </c>
      <c r="H15" s="39" t="n">
        <v>4750</v>
      </c>
      <c r="I15" s="39" t="n">
        <f aca="false">IF(OR($B15="",$H15=""),"",$H15-$G15)</f>
        <v>750</v>
      </c>
      <c r="J15" s="26" t="n">
        <f aca="false">IF(OR($H15="",$L15="",$K15=""),"",$L15-$K15)</f>
        <v>12</v>
      </c>
      <c r="K15" s="25" t="n">
        <v>45970</v>
      </c>
      <c r="L15" s="25" t="n">
        <v>45982</v>
      </c>
      <c r="M15" s="12"/>
      <c r="N15" s="12"/>
      <c r="O15" s="12" t="s">
        <v>80</v>
      </c>
      <c r="P15" s="39" t="n">
        <f aca="false">IF($B15="","",$G15/2)</f>
        <v>2000</v>
      </c>
      <c r="Q15" s="40" t="n">
        <f aca="false">IF($B15="","",IFERROR(N($P15)/(N($P15)+N($S15)),""))</f>
        <v>0.5</v>
      </c>
      <c r="R15" s="12" t="s">
        <v>81</v>
      </c>
      <c r="S15" s="39" t="n">
        <f aca="false">IF($B15="","",$G15/2)</f>
        <v>2000</v>
      </c>
      <c r="T15" s="40" t="n">
        <f aca="false">IF($B15="","",IFERROR(N($S15)/(N($P15)+N($S15)),""))</f>
        <v>0.5</v>
      </c>
      <c r="U15" s="12" t="str">
        <f aca="false">IF($L15="","",TEXT($L15,"YYYY-MM"))</f>
        <v>2025-11</v>
      </c>
      <c r="V15" s="26" t="str">
        <f aca="true">IF(OR($B15="",$H15&lt;&gt;""),"",TODAY()-$K15)</f>
        <v/>
      </c>
      <c r="W15" s="12" t="str">
        <f aca="false">IF($F15="In Inventory",COUNTIF($F$2:$F15,"In Inventory"),"")</f>
        <v/>
      </c>
    </row>
    <row r="16" customFormat="false" ht="15" hidden="false" customHeight="true" outlineLevel="0" collapsed="false">
      <c r="A16" s="32" t="n">
        <v>15</v>
      </c>
      <c r="B16" s="32" t="s">
        <v>23</v>
      </c>
      <c r="C16" s="32" t="s">
        <v>89</v>
      </c>
      <c r="D16" s="33" t="n">
        <v>2009</v>
      </c>
      <c r="E16" s="34" t="s">
        <v>79</v>
      </c>
      <c r="F16" s="32" t="str">
        <f aca="false">IF($B16="","",IF($H16="","In Inventory","Sold"))</f>
        <v>Sold</v>
      </c>
      <c r="G16" s="35" t="n">
        <v>3000</v>
      </c>
      <c r="H16" s="35" t="n">
        <v>3200</v>
      </c>
      <c r="I16" s="35" t="n">
        <f aca="false">IF(OR($B16="",$H16=""),"",$H16-$G16)</f>
        <v>200</v>
      </c>
      <c r="J16" s="33" t="n">
        <f aca="false">IF(OR($H16="",$L16="",$K16=""),"",$L16-$K16)</f>
        <v>28</v>
      </c>
      <c r="K16" s="36" t="n">
        <v>45936</v>
      </c>
      <c r="L16" s="36" t="n">
        <v>45964</v>
      </c>
      <c r="M16" s="32"/>
      <c r="N16" s="32"/>
      <c r="O16" s="32" t="s">
        <v>80</v>
      </c>
      <c r="P16" s="35" t="n">
        <f aca="false">IF($B16="","",$G16/2)</f>
        <v>1500</v>
      </c>
      <c r="Q16" s="37" t="n">
        <f aca="false">IF($B16="","",IFERROR(N($P16)/(N($P16)+N($S16)),""))</f>
        <v>0.5</v>
      </c>
      <c r="R16" s="32" t="s">
        <v>81</v>
      </c>
      <c r="S16" s="35" t="n">
        <f aca="false">IF($B16="","",$G16/2)</f>
        <v>1500</v>
      </c>
      <c r="T16" s="37" t="n">
        <f aca="false">IF($B16="","",IFERROR(N($S16)/(N($P16)+N($S16)),""))</f>
        <v>0.5</v>
      </c>
      <c r="U16" s="32" t="str">
        <f aca="false">IF($L16="","",TEXT($L16,"YYYY-MM"))</f>
        <v>2025-11</v>
      </c>
      <c r="V16" s="33" t="str">
        <f aca="true">IF(OR($B16="",$H16&lt;&gt;""),"",TODAY()-$K16)</f>
        <v/>
      </c>
      <c r="W16" s="32" t="str">
        <f aca="false">IF($F16="In Inventory",COUNTIF($F$2:$F16,"In Inventory"),"")</f>
        <v/>
      </c>
    </row>
    <row r="17" customFormat="false" ht="15" hidden="false" customHeight="true" outlineLevel="0" collapsed="false">
      <c r="A17" s="12" t="n">
        <v>16</v>
      </c>
      <c r="B17" s="12" t="s">
        <v>32</v>
      </c>
      <c r="C17" s="12" t="s">
        <v>87</v>
      </c>
      <c r="D17" s="26" t="n">
        <v>2023</v>
      </c>
      <c r="E17" s="38" t="s">
        <v>79</v>
      </c>
      <c r="F17" s="12" t="str">
        <f aca="false">IF($B17="","",IF($H17="","In Inventory","Sold"))</f>
        <v>Sold</v>
      </c>
      <c r="G17" s="39" t="n">
        <v>4000</v>
      </c>
      <c r="H17" s="39" t="n">
        <v>4900</v>
      </c>
      <c r="I17" s="39" t="n">
        <f aca="false">IF(OR($B17="",$H17=""),"",$H17-$G17)</f>
        <v>900</v>
      </c>
      <c r="J17" s="26" t="n">
        <f aca="false">IF(OR($H17="",$L17="",$K17=""),"",$L17-$K17)</f>
        <v>15</v>
      </c>
      <c r="K17" s="25" t="n">
        <v>45922</v>
      </c>
      <c r="L17" s="25" t="n">
        <v>45937</v>
      </c>
      <c r="M17" s="12"/>
      <c r="N17" s="12"/>
      <c r="O17" s="12" t="s">
        <v>80</v>
      </c>
      <c r="P17" s="39" t="n">
        <f aca="false">IF($B17="","",$G17/2)</f>
        <v>2000</v>
      </c>
      <c r="Q17" s="40" t="n">
        <f aca="false">IF($B17="","",IFERROR(N($P17)/(N($P17)+N($S17)),""))</f>
        <v>0.5</v>
      </c>
      <c r="R17" s="12" t="s">
        <v>81</v>
      </c>
      <c r="S17" s="39" t="n">
        <f aca="false">IF($B17="","",$G17/2)</f>
        <v>2000</v>
      </c>
      <c r="T17" s="40" t="n">
        <f aca="false">IF($B17="","",IFERROR(N($S17)/(N($P17)+N($S17)),""))</f>
        <v>0.5</v>
      </c>
      <c r="U17" s="12" t="str">
        <f aca="false">IF($L17="","",TEXT($L17,"YYYY-MM"))</f>
        <v>2025-10</v>
      </c>
      <c r="V17" s="26" t="str">
        <f aca="true">IF(OR($B17="",$H17&lt;&gt;""),"",TODAY()-$K17)</f>
        <v/>
      </c>
      <c r="W17" s="12" t="str">
        <f aca="false">IF($F17="In Inventory",COUNTIF($F$2:$F17,"In Inventory"),"")</f>
        <v/>
      </c>
    </row>
    <row r="18" customFormat="false" ht="15" hidden="false" customHeight="true" outlineLevel="0" collapsed="false">
      <c r="A18" s="32" t="n">
        <v>17</v>
      </c>
      <c r="B18" s="32" t="s">
        <v>32</v>
      </c>
      <c r="C18" s="32" t="s">
        <v>86</v>
      </c>
      <c r="D18" s="33" t="n">
        <v>2025</v>
      </c>
      <c r="E18" s="34" t="s">
        <v>79</v>
      </c>
      <c r="F18" s="32" t="str">
        <f aca="false">IF($B18="","",IF($H18="","In Inventory","Sold"))</f>
        <v>Sold</v>
      </c>
      <c r="G18" s="35" t="n">
        <v>4350</v>
      </c>
      <c r="H18" s="35" t="n">
        <v>4900</v>
      </c>
      <c r="I18" s="35" t="n">
        <f aca="false">IF(OR($B18="",$H18=""),"",$H18-$G18)</f>
        <v>550</v>
      </c>
      <c r="J18" s="33" t="n">
        <f aca="false">IF(OR($H18="",$L18="",$K18=""),"",$L18-$K18)</f>
        <v>10</v>
      </c>
      <c r="K18" s="36" t="n">
        <v>45914</v>
      </c>
      <c r="L18" s="36" t="n">
        <v>45924</v>
      </c>
      <c r="M18" s="32"/>
      <c r="N18" s="32"/>
      <c r="O18" s="32" t="s">
        <v>80</v>
      </c>
      <c r="P18" s="35" t="n">
        <f aca="false">IF($B18="","",$G18/2)</f>
        <v>2175</v>
      </c>
      <c r="Q18" s="37" t="n">
        <f aca="false">IF($B18="","",IFERROR(N($P18)/(N($P18)+N($S18)),""))</f>
        <v>0.5</v>
      </c>
      <c r="R18" s="32" t="s">
        <v>81</v>
      </c>
      <c r="S18" s="35" t="n">
        <f aca="false">IF($B18="","",$G18/2)</f>
        <v>2175</v>
      </c>
      <c r="T18" s="37" t="n">
        <f aca="false">IF($B18="","",IFERROR(N($S18)/(N($P18)+N($S18)),""))</f>
        <v>0.5</v>
      </c>
      <c r="U18" s="32" t="str">
        <f aca="false">IF($L18="","",TEXT($L18,"YYYY-MM"))</f>
        <v>2025-09</v>
      </c>
      <c r="V18" s="33" t="str">
        <f aca="true">IF(OR($B18="",$H18&lt;&gt;""),"",TODAY()-$K18)</f>
        <v/>
      </c>
      <c r="W18" s="32" t="str">
        <f aca="false">IF($F18="In Inventory",COUNTIF($F$2:$F18,"In Inventory"),"")</f>
        <v/>
      </c>
    </row>
    <row r="19" customFormat="false" ht="15" hidden="false" customHeight="true" outlineLevel="0" collapsed="false">
      <c r="A19" s="12" t="n">
        <v>18</v>
      </c>
      <c r="B19" s="12" t="s">
        <v>35</v>
      </c>
      <c r="C19" s="12" t="s">
        <v>90</v>
      </c>
      <c r="D19" s="26" t="n">
        <v>2009</v>
      </c>
      <c r="E19" s="38" t="s">
        <v>91</v>
      </c>
      <c r="F19" s="12" t="str">
        <f aca="false">IF($B19="","",IF($H19="","In Inventory","Sold"))</f>
        <v>In Inventory</v>
      </c>
      <c r="G19" s="39" t="n">
        <v>3200</v>
      </c>
      <c r="H19" s="39"/>
      <c r="I19" s="39" t="str">
        <f aca="false">IF(OR($B19="",$H19=""),"",$H19-$G19)</f>
        <v/>
      </c>
      <c r="J19" s="26" t="str">
        <f aca="false">IF(OR($H19="",$L19="",$K19=""),"",$L19-$K19)</f>
        <v/>
      </c>
      <c r="K19" s="25" t="n">
        <v>45908</v>
      </c>
      <c r="L19" s="25"/>
      <c r="M19" s="12"/>
      <c r="N19" s="12"/>
      <c r="O19" s="12" t="s">
        <v>80</v>
      </c>
      <c r="P19" s="39" t="n">
        <f aca="false">IF($B19="","",$G19/2)</f>
        <v>1600</v>
      </c>
      <c r="Q19" s="40" t="n">
        <f aca="false">IF($B19="","",IFERROR(N($P19)/(N($P19)+N($S19)),""))</f>
        <v>0.5</v>
      </c>
      <c r="R19" s="12" t="s">
        <v>81</v>
      </c>
      <c r="S19" s="39" t="n">
        <f aca="false">IF($B19="","",$G19/2)</f>
        <v>1600</v>
      </c>
      <c r="T19" s="40" t="n">
        <f aca="false">IF($B19="","",IFERROR(N($S19)/(N($P19)+N($S19)),""))</f>
        <v>0.5</v>
      </c>
      <c r="U19" s="12" t="str">
        <f aca="false">IF($L19="","",TEXT($L19,"YYYY-MM"))</f>
        <v/>
      </c>
      <c r="V19" s="26" t="n">
        <f aca="true">IF(OR($B19="",$H19&lt;&gt;""),"",TODAY()-$K19)</f>
        <v>277</v>
      </c>
      <c r="W19" s="12" t="n">
        <f aca="false">IF($F19="In Inventory",COUNTIF($F$2:$F19,"In Inventory"),"")</f>
        <v>5</v>
      </c>
    </row>
    <row r="20" customFormat="false" ht="15" hidden="false" customHeight="true" outlineLevel="0" collapsed="false">
      <c r="A20" s="32" t="n">
        <v>19</v>
      </c>
      <c r="B20" s="32" t="s">
        <v>35</v>
      </c>
      <c r="C20" s="32" t="s">
        <v>90</v>
      </c>
      <c r="D20" s="33" t="n">
        <v>2010</v>
      </c>
      <c r="E20" s="34" t="s">
        <v>91</v>
      </c>
      <c r="F20" s="32" t="str">
        <f aca="false">IF($B20="","",IF($H20="","In Inventory","Sold"))</f>
        <v>Sold</v>
      </c>
      <c r="G20" s="35" t="n">
        <v>2800</v>
      </c>
      <c r="H20" s="35" t="n">
        <v>3950</v>
      </c>
      <c r="I20" s="35" t="n">
        <f aca="false">IF(OR($B20="",$H20=""),"",$H20-$G20)</f>
        <v>1150</v>
      </c>
      <c r="J20" s="33" t="n">
        <f aca="false">IF(OR($H20="",$L20="",$K20=""),"",$L20-$K20)</f>
        <v>17</v>
      </c>
      <c r="K20" s="36" t="n">
        <v>45904</v>
      </c>
      <c r="L20" s="36" t="n">
        <v>45921</v>
      </c>
      <c r="M20" s="32"/>
      <c r="N20" s="32"/>
      <c r="O20" s="32" t="s">
        <v>80</v>
      </c>
      <c r="P20" s="35" t="n">
        <f aca="false">IF($B20="","",$G20/2)</f>
        <v>1400</v>
      </c>
      <c r="Q20" s="37" t="n">
        <f aca="false">IF($B20="","",IFERROR(N($P20)/(N($P20)+N($S20)),""))</f>
        <v>0.5</v>
      </c>
      <c r="R20" s="32" t="s">
        <v>81</v>
      </c>
      <c r="S20" s="35" t="n">
        <f aca="false">IF($B20="","",$G20/2)</f>
        <v>1400</v>
      </c>
      <c r="T20" s="37" t="n">
        <f aca="false">IF($B20="","",IFERROR(N($S20)/(N($P20)+N($S20)),""))</f>
        <v>0.5</v>
      </c>
      <c r="U20" s="32" t="str">
        <f aca="false">IF($L20="","",TEXT($L20,"YYYY-MM"))</f>
        <v>2025-09</v>
      </c>
      <c r="V20" s="33" t="str">
        <f aca="true">IF(OR($B20="",$H20&lt;&gt;""),"",TODAY()-$K20)</f>
        <v/>
      </c>
      <c r="W20" s="32" t="str">
        <f aca="false">IF($F20="In Inventory",COUNTIF($F$2:$F20,"In Inventory"),"")</f>
        <v/>
      </c>
    </row>
    <row r="21" customFormat="false" ht="15" hidden="false" customHeight="true" outlineLevel="0" collapsed="false">
      <c r="A21" s="12" t="n">
        <v>20</v>
      </c>
      <c r="B21" s="12" t="s">
        <v>35</v>
      </c>
      <c r="C21" s="12" t="s">
        <v>90</v>
      </c>
      <c r="D21" s="26" t="n">
        <v>2011</v>
      </c>
      <c r="E21" s="38" t="s">
        <v>91</v>
      </c>
      <c r="F21" s="12" t="str">
        <f aca="false">IF($B21="","",IF($H21="","In Inventory","Sold"))</f>
        <v>Sold</v>
      </c>
      <c r="G21" s="39" t="n">
        <v>3600</v>
      </c>
      <c r="H21" s="39" t="n">
        <v>4800</v>
      </c>
      <c r="I21" s="39" t="n">
        <f aca="false">IF(OR($B21="",$H21=""),"",$H21-$G21)</f>
        <v>1200</v>
      </c>
      <c r="J21" s="26" t="n">
        <f aca="false">IF(OR($H21="",$L21="",$K21=""),"",$L21-$K21)</f>
        <v>20</v>
      </c>
      <c r="K21" s="25" t="n">
        <v>45898</v>
      </c>
      <c r="L21" s="25" t="n">
        <v>45918</v>
      </c>
      <c r="M21" s="12"/>
      <c r="N21" s="12"/>
      <c r="O21" s="12" t="s">
        <v>80</v>
      </c>
      <c r="P21" s="39" t="n">
        <f aca="false">IF($B21="","",$G21/2)</f>
        <v>1800</v>
      </c>
      <c r="Q21" s="40" t="n">
        <f aca="false">IF($B21="","",IFERROR(N($P21)/(N($P21)+N($S21)),""))</f>
        <v>0.5</v>
      </c>
      <c r="R21" s="12" t="s">
        <v>81</v>
      </c>
      <c r="S21" s="39" t="n">
        <f aca="false">IF($B21="","",$G21/2)</f>
        <v>1800</v>
      </c>
      <c r="T21" s="40" t="n">
        <f aca="false">IF($B21="","",IFERROR(N($S21)/(N($P21)+N($S21)),""))</f>
        <v>0.5</v>
      </c>
      <c r="U21" s="12" t="str">
        <f aca="false">IF($L21="","",TEXT($L21,"YYYY-MM"))</f>
        <v>2025-09</v>
      </c>
      <c r="V21" s="26" t="str">
        <f aca="true">IF(OR($B21="",$H21&lt;&gt;""),"",TODAY()-$K21)</f>
        <v/>
      </c>
      <c r="W21" s="12" t="str">
        <f aca="false">IF($F21="In Inventory",COUNTIF($F$2:$F21,"In Inventory"),"")</f>
        <v/>
      </c>
    </row>
    <row r="22" customFormat="false" ht="15" hidden="false" customHeight="true" outlineLevel="0" collapsed="false">
      <c r="A22" s="32" t="n">
        <v>21</v>
      </c>
      <c r="B22" s="32" t="s">
        <v>38</v>
      </c>
      <c r="C22" s="32" t="s">
        <v>84</v>
      </c>
      <c r="D22" s="33" t="n">
        <v>2021</v>
      </c>
      <c r="E22" s="34" t="s">
        <v>79</v>
      </c>
      <c r="F22" s="32" t="str">
        <f aca="false">IF($B22="","",IF($H22="","In Inventory","Sold"))</f>
        <v>Sold</v>
      </c>
      <c r="G22" s="35" t="n">
        <v>3500</v>
      </c>
      <c r="H22" s="35" t="n">
        <v>4900</v>
      </c>
      <c r="I22" s="35" t="n">
        <f aca="false">IF(OR($B22="",$H22=""),"",$H22-$G22)</f>
        <v>1400</v>
      </c>
      <c r="J22" s="33" t="n">
        <f aca="false">IF(OR($H22="",$L22="",$K22=""),"",$L22-$K22)</f>
        <v>13</v>
      </c>
      <c r="K22" s="36" t="n">
        <v>45896</v>
      </c>
      <c r="L22" s="36" t="n">
        <v>45909</v>
      </c>
      <c r="M22" s="32"/>
      <c r="N22" s="32"/>
      <c r="O22" s="32" t="s">
        <v>80</v>
      </c>
      <c r="P22" s="35" t="n">
        <f aca="false">IF($B22="","",$G22/2)</f>
        <v>1750</v>
      </c>
      <c r="Q22" s="37" t="n">
        <f aca="false">IF($B22="","",IFERROR(N($P22)/(N($P22)+N($S22)),""))</f>
        <v>0.5</v>
      </c>
      <c r="R22" s="32" t="s">
        <v>81</v>
      </c>
      <c r="S22" s="35" t="n">
        <f aca="false">IF($B22="","",$G22/2)</f>
        <v>1750</v>
      </c>
      <c r="T22" s="37" t="n">
        <f aca="false">IF($B22="","",IFERROR(N($S22)/(N($P22)+N($S22)),""))</f>
        <v>0.5</v>
      </c>
      <c r="U22" s="32" t="str">
        <f aca="false">IF($L22="","",TEXT($L22,"YYYY-MM"))</f>
        <v>2025-09</v>
      </c>
      <c r="V22" s="33" t="str">
        <f aca="true">IF(OR($B22="",$H22&lt;&gt;""),"",TODAY()-$K22)</f>
        <v/>
      </c>
      <c r="W22" s="32" t="str">
        <f aca="false">IF($F22="In Inventory",COUNTIF($F$2:$F22,"In Inventory"),"")</f>
        <v/>
      </c>
    </row>
    <row r="23" customFormat="false" ht="15" hidden="false" customHeight="true" outlineLevel="0" collapsed="false">
      <c r="A23" s="12" t="n">
        <v>22</v>
      </c>
      <c r="B23" s="12" t="s">
        <v>32</v>
      </c>
      <c r="C23" s="12" t="s">
        <v>87</v>
      </c>
      <c r="D23" s="26" t="n">
        <v>2021</v>
      </c>
      <c r="E23" s="38" t="s">
        <v>79</v>
      </c>
      <c r="F23" s="12" t="str">
        <f aca="false">IF($B23="","",IF($H23="","In Inventory","Sold"))</f>
        <v>Sold</v>
      </c>
      <c r="G23" s="39" t="n">
        <v>4000</v>
      </c>
      <c r="H23" s="39" t="n">
        <v>5250</v>
      </c>
      <c r="I23" s="39" t="n">
        <f aca="false">IF(OR($B23="",$H23=""),"",$H23-$G23)</f>
        <v>1250</v>
      </c>
      <c r="J23" s="26" t="n">
        <f aca="false">IF(OR($H23="",$L23="",$K23=""),"",$L23-$K23)</f>
        <v>7</v>
      </c>
      <c r="K23" s="25" t="n">
        <v>45893</v>
      </c>
      <c r="L23" s="25" t="n">
        <v>45900</v>
      </c>
      <c r="M23" s="12"/>
      <c r="N23" s="12"/>
      <c r="O23" s="12" t="s">
        <v>80</v>
      </c>
      <c r="P23" s="39" t="n">
        <f aca="false">IF($B23="","",$G23/2)</f>
        <v>2000</v>
      </c>
      <c r="Q23" s="40" t="n">
        <f aca="false">IF($B23="","",IFERROR(N($P23)/(N($P23)+N($S23)),""))</f>
        <v>0.5</v>
      </c>
      <c r="R23" s="12" t="s">
        <v>81</v>
      </c>
      <c r="S23" s="39" t="n">
        <f aca="false">IF($B23="","",$G23/2)</f>
        <v>2000</v>
      </c>
      <c r="T23" s="40" t="n">
        <f aca="false">IF($B23="","",IFERROR(N($S23)/(N($P23)+N($S23)),""))</f>
        <v>0.5</v>
      </c>
      <c r="U23" s="12" t="str">
        <f aca="false">IF($L23="","",TEXT($L23,"YYYY-MM"))</f>
        <v>2025-08</v>
      </c>
      <c r="V23" s="26" t="str">
        <f aca="true">IF(OR($B23="",$H23&lt;&gt;""),"",TODAY()-$K23)</f>
        <v/>
      </c>
      <c r="W23" s="12" t="str">
        <f aca="false">IF($F23="In Inventory",COUNTIF($F$2:$F23,"In Inventory"),"")</f>
        <v/>
      </c>
    </row>
    <row r="24" customFormat="false" ht="15" hidden="false" customHeight="true" outlineLevel="0" collapsed="false">
      <c r="A24" s="32" t="n">
        <v>23</v>
      </c>
      <c r="B24" s="32" t="s">
        <v>38</v>
      </c>
      <c r="C24" s="32" t="s">
        <v>84</v>
      </c>
      <c r="D24" s="33" t="n">
        <v>2015</v>
      </c>
      <c r="E24" s="34" t="s">
        <v>79</v>
      </c>
      <c r="F24" s="32" t="str">
        <f aca="false">IF($B24="","",IF($H24="","In Inventory","Sold"))</f>
        <v>Sold</v>
      </c>
      <c r="G24" s="35" t="n">
        <v>3000</v>
      </c>
      <c r="H24" s="35" t="n">
        <v>3900</v>
      </c>
      <c r="I24" s="35" t="n">
        <f aca="false">IF(OR($B24="",$H24=""),"",$H24-$G24)</f>
        <v>900</v>
      </c>
      <c r="J24" s="33" t="n">
        <f aca="false">IF(OR($H24="",$L24="",$K24=""),"",$L24-$K24)</f>
        <v>18</v>
      </c>
      <c r="K24" s="36" t="n">
        <v>45889</v>
      </c>
      <c r="L24" s="36" t="n">
        <v>45907</v>
      </c>
      <c r="M24" s="32"/>
      <c r="N24" s="32"/>
      <c r="O24" s="32" t="s">
        <v>80</v>
      </c>
      <c r="P24" s="35" t="n">
        <f aca="false">IF($B24="","",$G24/2)</f>
        <v>1500</v>
      </c>
      <c r="Q24" s="37" t="n">
        <f aca="false">IF($B24="","",IFERROR(N($P24)/(N($P24)+N($S24)),""))</f>
        <v>0.5</v>
      </c>
      <c r="R24" s="32" t="s">
        <v>81</v>
      </c>
      <c r="S24" s="35" t="n">
        <f aca="false">IF($B24="","",$G24/2)</f>
        <v>1500</v>
      </c>
      <c r="T24" s="37" t="n">
        <f aca="false">IF($B24="","",IFERROR(N($S24)/(N($P24)+N($S24)),""))</f>
        <v>0.5</v>
      </c>
      <c r="U24" s="32" t="str">
        <f aca="false">IF($L24="","",TEXT($L24,"YYYY-MM"))</f>
        <v>2025-09</v>
      </c>
      <c r="V24" s="33" t="str">
        <f aca="true">IF(OR($B24="",$H24&lt;&gt;""),"",TODAY()-$K24)</f>
        <v/>
      </c>
      <c r="W24" s="32" t="str">
        <f aca="false">IF($F24="In Inventory",COUNTIF($F$2:$F24,"In Inventory"),"")</f>
        <v/>
      </c>
    </row>
    <row r="25" customFormat="false" ht="15" hidden="false" customHeight="true" outlineLevel="0" collapsed="false">
      <c r="A25" s="12" t="n">
        <v>24</v>
      </c>
      <c r="B25" s="12" t="s">
        <v>32</v>
      </c>
      <c r="C25" s="12" t="s">
        <v>87</v>
      </c>
      <c r="D25" s="26" t="n">
        <v>2020</v>
      </c>
      <c r="E25" s="38" t="s">
        <v>79</v>
      </c>
      <c r="F25" s="12" t="str">
        <f aca="false">IF($B25="","",IF($H25="","In Inventory","Sold"))</f>
        <v>Sold</v>
      </c>
      <c r="G25" s="39" t="n">
        <v>3350</v>
      </c>
      <c r="H25" s="39" t="n">
        <v>5100</v>
      </c>
      <c r="I25" s="39" t="n">
        <f aca="false">IF(OR($B25="",$H25=""),"",$H25-$G25)</f>
        <v>1750</v>
      </c>
      <c r="J25" s="26" t="n">
        <f aca="false">IF(OR($H25="",$L25="",$K25=""),"",$L25-$K25)</f>
        <v>11</v>
      </c>
      <c r="K25" s="25" t="n">
        <v>45887</v>
      </c>
      <c r="L25" s="25" t="n">
        <v>45898</v>
      </c>
      <c r="M25" s="12"/>
      <c r="N25" s="12"/>
      <c r="O25" s="12" t="s">
        <v>80</v>
      </c>
      <c r="P25" s="39" t="n">
        <f aca="false">IF($B25="","",$G25/2)</f>
        <v>1675</v>
      </c>
      <c r="Q25" s="40" t="n">
        <f aca="false">IF($B25="","",IFERROR(N($P25)/(N($P25)+N($S25)),""))</f>
        <v>0.5</v>
      </c>
      <c r="R25" s="12" t="s">
        <v>81</v>
      </c>
      <c r="S25" s="39" t="n">
        <f aca="false">IF($B25="","",$G25/2)</f>
        <v>1675</v>
      </c>
      <c r="T25" s="40" t="n">
        <f aca="false">IF($B25="","",IFERROR(N($S25)/(N($P25)+N($S25)),""))</f>
        <v>0.5</v>
      </c>
      <c r="U25" s="12" t="str">
        <f aca="false">IF($L25="","",TEXT($L25,"YYYY-MM"))</f>
        <v>2025-08</v>
      </c>
      <c r="V25" s="26" t="str">
        <f aca="true">IF(OR($B25="",$H25&lt;&gt;""),"",TODAY()-$K25)</f>
        <v/>
      </c>
      <c r="W25" s="12" t="str">
        <f aca="false">IF($F25="In Inventory",COUNTIF($F$2:$F25,"In Inventory"),"")</f>
        <v/>
      </c>
    </row>
    <row r="26" customFormat="false" ht="15" hidden="false" customHeight="true" outlineLevel="0" collapsed="false">
      <c r="A26" s="32" t="n">
        <v>25</v>
      </c>
      <c r="B26" s="32" t="s">
        <v>32</v>
      </c>
      <c r="C26" s="32" t="s">
        <v>82</v>
      </c>
      <c r="D26" s="33" t="n">
        <v>2021</v>
      </c>
      <c r="E26" s="34" t="s">
        <v>79</v>
      </c>
      <c r="F26" s="32" t="str">
        <f aca="false">IF($B26="","",IF($H26="","In Inventory","Sold"))</f>
        <v>Sold</v>
      </c>
      <c r="G26" s="35" t="n">
        <v>3000</v>
      </c>
      <c r="H26" s="35" t="n">
        <v>4725</v>
      </c>
      <c r="I26" s="35" t="n">
        <f aca="false">IF(OR($B26="",$H26=""),"",$H26-$G26)</f>
        <v>1725</v>
      </c>
      <c r="J26" s="33" t="n">
        <f aca="false">IF(OR($H26="",$L26="",$K26=""),"",$L26-$K26)</f>
        <v>16</v>
      </c>
      <c r="K26" s="36" t="n">
        <v>45881</v>
      </c>
      <c r="L26" s="36" t="n">
        <v>45897</v>
      </c>
      <c r="M26" s="32"/>
      <c r="N26" s="32"/>
      <c r="O26" s="32" t="s">
        <v>80</v>
      </c>
      <c r="P26" s="35" t="n">
        <f aca="false">IF($B26="","",$G26/2)</f>
        <v>1500</v>
      </c>
      <c r="Q26" s="37" t="n">
        <f aca="false">IF($B26="","",IFERROR(N($P26)/(N($P26)+N($S26)),""))</f>
        <v>0.5</v>
      </c>
      <c r="R26" s="32" t="s">
        <v>81</v>
      </c>
      <c r="S26" s="35" t="n">
        <f aca="false">IF($B26="","",$G26/2)</f>
        <v>1500</v>
      </c>
      <c r="T26" s="37" t="n">
        <f aca="false">IF($B26="","",IFERROR(N($S26)/(N($P26)+N($S26)),""))</f>
        <v>0.5</v>
      </c>
      <c r="U26" s="32" t="str">
        <f aca="false">IF($L26="","",TEXT($L26,"YYYY-MM"))</f>
        <v>2025-08</v>
      </c>
      <c r="V26" s="33" t="str">
        <f aca="true">IF(OR($B26="",$H26&lt;&gt;""),"",TODAY()-$K26)</f>
        <v/>
      </c>
      <c r="W26" s="32" t="str">
        <f aca="false">IF($F26="In Inventory",COUNTIF($F$2:$F26,"In Inventory"),"")</f>
        <v/>
      </c>
    </row>
    <row r="27" customFormat="false" ht="15" hidden="false" customHeight="true" outlineLevel="0" collapsed="false">
      <c r="A27" s="12" t="n">
        <v>26</v>
      </c>
      <c r="B27" s="12" t="s">
        <v>32</v>
      </c>
      <c r="C27" s="12" t="s">
        <v>92</v>
      </c>
      <c r="D27" s="26" t="n">
        <v>2024</v>
      </c>
      <c r="E27" s="38" t="s">
        <v>79</v>
      </c>
      <c r="F27" s="12" t="str">
        <f aca="false">IF($B27="","",IF($H27="","In Inventory","Sold"))</f>
        <v>Sold</v>
      </c>
      <c r="G27" s="39" t="n">
        <v>4200</v>
      </c>
      <c r="H27" s="39" t="n">
        <v>5000</v>
      </c>
      <c r="I27" s="39" t="n">
        <f aca="false">IF(OR($B27="",$H27=""),"",$H27-$G27)</f>
        <v>800</v>
      </c>
      <c r="J27" s="26" t="n">
        <f aca="false">IF(OR($H27="",$L27="",$K27=""),"",$L27-$K27)</f>
        <v>21</v>
      </c>
      <c r="K27" s="25" t="n">
        <v>45878</v>
      </c>
      <c r="L27" s="25" t="n">
        <v>45899</v>
      </c>
      <c r="M27" s="12"/>
      <c r="N27" s="12"/>
      <c r="O27" s="12" t="s">
        <v>80</v>
      </c>
      <c r="P27" s="39" t="n">
        <f aca="false">IF($B27="","",$G27/2)</f>
        <v>2100</v>
      </c>
      <c r="Q27" s="40" t="n">
        <f aca="false">IF($B27="","",IFERROR(N($P27)/(N($P27)+N($S27)),""))</f>
        <v>0.5</v>
      </c>
      <c r="R27" s="12" t="s">
        <v>81</v>
      </c>
      <c r="S27" s="39" t="n">
        <f aca="false">IF($B27="","",$G27/2)</f>
        <v>2100</v>
      </c>
      <c r="T27" s="40" t="n">
        <f aca="false">IF($B27="","",IFERROR(N($S27)/(N($P27)+N($S27)),""))</f>
        <v>0.5</v>
      </c>
      <c r="U27" s="12" t="str">
        <f aca="false">IF($L27="","",TEXT($L27,"YYYY-MM"))</f>
        <v>2025-08</v>
      </c>
      <c r="V27" s="26" t="str">
        <f aca="true">IF(OR($B27="",$H27&lt;&gt;""),"",TODAY()-$K27)</f>
        <v/>
      </c>
      <c r="W27" s="12" t="str">
        <f aca="false">IF($F27="In Inventory",COUNTIF($F$2:$F27,"In Inventory"),"")</f>
        <v/>
      </c>
    </row>
    <row r="28" customFormat="false" ht="15" hidden="false" customHeight="true" outlineLevel="0" collapsed="false">
      <c r="A28" s="32" t="n">
        <v>27</v>
      </c>
      <c r="B28" s="32" t="s">
        <v>32</v>
      </c>
      <c r="C28" s="32" t="s">
        <v>78</v>
      </c>
      <c r="D28" s="33" t="n">
        <v>2015</v>
      </c>
      <c r="E28" s="34" t="s">
        <v>79</v>
      </c>
      <c r="F28" s="32" t="str">
        <f aca="false">IF($B28="","",IF($H28="","In Inventory","Sold"))</f>
        <v>Sold</v>
      </c>
      <c r="G28" s="35" t="n">
        <v>2500</v>
      </c>
      <c r="H28" s="35" t="n">
        <v>3600</v>
      </c>
      <c r="I28" s="35" t="n">
        <f aca="false">IF(OR($B28="",$H28=""),"",$H28-$G28)</f>
        <v>1100</v>
      </c>
      <c r="J28" s="33" t="n">
        <f aca="false">IF(OR($H28="",$L28="",$K28=""),"",$L28-$K28)</f>
        <v>14</v>
      </c>
      <c r="K28" s="36" t="n">
        <v>45874</v>
      </c>
      <c r="L28" s="36" t="n">
        <v>45888</v>
      </c>
      <c r="M28" s="32"/>
      <c r="N28" s="32"/>
      <c r="O28" s="32" t="s">
        <v>80</v>
      </c>
      <c r="P28" s="35" t="n">
        <f aca="false">IF($B28="","",$G28/2)</f>
        <v>1250</v>
      </c>
      <c r="Q28" s="37" t="n">
        <f aca="false">IF($B28="","",IFERROR(N($P28)/(N($P28)+N($S28)),""))</f>
        <v>0.5</v>
      </c>
      <c r="R28" s="32" t="s">
        <v>81</v>
      </c>
      <c r="S28" s="35" t="n">
        <f aca="false">IF($B28="","",$G28/2)</f>
        <v>1250</v>
      </c>
      <c r="T28" s="37" t="n">
        <f aca="false">IF($B28="","",IFERROR(N($S28)/(N($P28)+N($S28)),""))</f>
        <v>0.5</v>
      </c>
      <c r="U28" s="32" t="str">
        <f aca="false">IF($L28="","",TEXT($L28,"YYYY-MM"))</f>
        <v>2025-08</v>
      </c>
      <c r="V28" s="33" t="str">
        <f aca="true">IF(OR($B28="",$H28&lt;&gt;""),"",TODAY()-$K28)</f>
        <v/>
      </c>
      <c r="W28" s="32" t="str">
        <f aca="false">IF($F28="In Inventory",COUNTIF($F$2:$F28,"In Inventory"),"")</f>
        <v/>
      </c>
    </row>
    <row r="29" customFormat="false" ht="15" hidden="false" customHeight="true" outlineLevel="0" collapsed="false">
      <c r="A29" s="12" t="n">
        <v>28</v>
      </c>
      <c r="B29" s="12" t="s">
        <v>32</v>
      </c>
      <c r="C29" s="12" t="s">
        <v>87</v>
      </c>
      <c r="D29" s="26" t="n">
        <v>2023</v>
      </c>
      <c r="E29" s="38" t="s">
        <v>79</v>
      </c>
      <c r="F29" s="12" t="str">
        <f aca="false">IF($B29="","",IF($H29="","In Inventory","Sold"))</f>
        <v>Sold</v>
      </c>
      <c r="G29" s="39" t="n">
        <v>4000</v>
      </c>
      <c r="H29" s="39" t="n">
        <v>5150</v>
      </c>
      <c r="I29" s="39" t="n">
        <f aca="false">IF(OR($B29="",$H29=""),"",$H29-$G29)</f>
        <v>1150</v>
      </c>
      <c r="J29" s="26" t="n">
        <f aca="false">IF(OR($H29="",$L29="",$K29=""),"",$L29-$K29)</f>
        <v>9</v>
      </c>
      <c r="K29" s="25" t="n">
        <v>45872</v>
      </c>
      <c r="L29" s="25" t="n">
        <v>45881</v>
      </c>
      <c r="M29" s="12"/>
      <c r="N29" s="12"/>
      <c r="O29" s="12" t="s">
        <v>80</v>
      </c>
      <c r="P29" s="39" t="n">
        <f aca="false">IF($B29="","",$G29/2)</f>
        <v>2000</v>
      </c>
      <c r="Q29" s="40" t="n">
        <f aca="false">IF($B29="","",IFERROR(N($P29)/(N($P29)+N($S29)),""))</f>
        <v>0.5</v>
      </c>
      <c r="R29" s="12" t="s">
        <v>81</v>
      </c>
      <c r="S29" s="39" t="n">
        <f aca="false">IF($B29="","",$G29/2)</f>
        <v>2000</v>
      </c>
      <c r="T29" s="40" t="n">
        <f aca="false">IF($B29="","",IFERROR(N($S29)/(N($P29)+N($S29)),""))</f>
        <v>0.5</v>
      </c>
      <c r="U29" s="12" t="str">
        <f aca="false">IF($L29="","",TEXT($L29,"YYYY-MM"))</f>
        <v>2025-08</v>
      </c>
      <c r="V29" s="26" t="str">
        <f aca="true">IF(OR($B29="",$H29&lt;&gt;""),"",TODAY()-$K29)</f>
        <v/>
      </c>
      <c r="W29" s="12" t="str">
        <f aca="false">IF($F29="In Inventory",COUNTIF($F$2:$F29,"In Inventory"),"")</f>
        <v/>
      </c>
    </row>
    <row r="30" customFormat="false" ht="15" hidden="false" customHeight="true" outlineLevel="0" collapsed="false">
      <c r="A30" s="32" t="n">
        <v>29</v>
      </c>
      <c r="B30" s="32" t="s">
        <v>32</v>
      </c>
      <c r="C30" s="32" t="s">
        <v>93</v>
      </c>
      <c r="D30" s="33" t="n">
        <v>2017</v>
      </c>
      <c r="E30" s="34" t="s">
        <v>79</v>
      </c>
      <c r="F30" s="32" t="str">
        <f aca="false">IF($B30="","",IF($H30="","In Inventory","Sold"))</f>
        <v>Sold</v>
      </c>
      <c r="G30" s="35" t="n">
        <v>2500</v>
      </c>
      <c r="H30" s="35" t="n">
        <v>3400</v>
      </c>
      <c r="I30" s="35" t="n">
        <f aca="false">IF(OR($B30="",$H30=""),"",$H30-$G30)</f>
        <v>900</v>
      </c>
      <c r="J30" s="33" t="n">
        <f aca="false">IF(OR($H30="",$L30="",$K30=""),"",$L30-$K30)</f>
        <v>12</v>
      </c>
      <c r="K30" s="36" t="n">
        <v>45853</v>
      </c>
      <c r="L30" s="36" t="n">
        <v>45865</v>
      </c>
      <c r="M30" s="32"/>
      <c r="N30" s="32"/>
      <c r="O30" s="32" t="s">
        <v>80</v>
      </c>
      <c r="P30" s="35" t="n">
        <f aca="false">IF($B30="","",$G30/2)</f>
        <v>1250</v>
      </c>
      <c r="Q30" s="37" t="n">
        <f aca="false">IF($B30="","",IFERROR(N($P30)/(N($P30)+N($S30)),""))</f>
        <v>0.5</v>
      </c>
      <c r="R30" s="32" t="s">
        <v>81</v>
      </c>
      <c r="S30" s="35" t="n">
        <f aca="false">IF($B30="","",$G30/2)</f>
        <v>1250</v>
      </c>
      <c r="T30" s="37" t="n">
        <f aca="false">IF($B30="","",IFERROR(N($S30)/(N($P30)+N($S30)),""))</f>
        <v>0.5</v>
      </c>
      <c r="U30" s="32" t="str">
        <f aca="false">IF($L30="","",TEXT($L30,"YYYY-MM"))</f>
        <v>2025-07</v>
      </c>
      <c r="V30" s="33" t="str">
        <f aca="true">IF(OR($B30="",$H30&lt;&gt;""),"",TODAY()-$K30)</f>
        <v/>
      </c>
      <c r="W30" s="32" t="str">
        <f aca="false">IF($F30="In Inventory",COUNTIF($F$2:$F30,"In Inventory"),"")</f>
        <v/>
      </c>
    </row>
    <row r="31" customFormat="false" ht="15" hidden="false" customHeight="true" outlineLevel="0" collapsed="false">
      <c r="A31" s="12" t="n">
        <v>30</v>
      </c>
      <c r="B31" s="12" t="s">
        <v>29</v>
      </c>
      <c r="C31" s="12" t="s">
        <v>94</v>
      </c>
      <c r="D31" s="26" t="n">
        <v>2023</v>
      </c>
      <c r="E31" s="38" t="s">
        <v>79</v>
      </c>
      <c r="F31" s="12" t="str">
        <f aca="false">IF($B31="","",IF($H31="","In Inventory","Sold"))</f>
        <v>Sold</v>
      </c>
      <c r="G31" s="39" t="n">
        <v>3000</v>
      </c>
      <c r="H31" s="39" t="n">
        <v>4750</v>
      </c>
      <c r="I31" s="39" t="n">
        <f aca="false">IF(OR($B31="",$H31=""),"",$H31-$G31)</f>
        <v>1750</v>
      </c>
      <c r="J31" s="26" t="n">
        <f aca="false">IF(OR($H31="",$L31="",$K31=""),"",$L31-$K31)</f>
        <v>19</v>
      </c>
      <c r="K31" s="25" t="n">
        <v>45846</v>
      </c>
      <c r="L31" s="25" t="n">
        <v>45865</v>
      </c>
      <c r="M31" s="12"/>
      <c r="N31" s="12"/>
      <c r="O31" s="12" t="s">
        <v>80</v>
      </c>
      <c r="P31" s="39" t="n">
        <f aca="false">IF($B31="","",$G31/2)</f>
        <v>1500</v>
      </c>
      <c r="Q31" s="40" t="n">
        <f aca="false">IF($B31="","",IFERROR(N($P31)/(N($P31)+N($S31)),""))</f>
        <v>0.5</v>
      </c>
      <c r="R31" s="12" t="s">
        <v>81</v>
      </c>
      <c r="S31" s="39" t="n">
        <f aca="false">IF($B31="","",$G31/2)</f>
        <v>1500</v>
      </c>
      <c r="T31" s="40" t="n">
        <f aca="false">IF($B31="","",IFERROR(N($S31)/(N($P31)+N($S31)),""))</f>
        <v>0.5</v>
      </c>
      <c r="U31" s="12" t="str">
        <f aca="false">IF($L31="","",TEXT($L31,"YYYY-MM"))</f>
        <v>2025-07</v>
      </c>
      <c r="V31" s="26" t="str">
        <f aca="true">IF(OR($B31="",$H31&lt;&gt;""),"",TODAY()-$K31)</f>
        <v/>
      </c>
      <c r="W31" s="12" t="str">
        <f aca="false">IF($F31="In Inventory",COUNTIF($F$2:$F31,"In Inventory"),"")</f>
        <v/>
      </c>
    </row>
    <row r="32" customFormat="false" ht="15" hidden="false" customHeight="true" outlineLevel="0" collapsed="false">
      <c r="A32" s="12"/>
      <c r="B32" s="12"/>
      <c r="C32" s="12"/>
      <c r="D32" s="26"/>
      <c r="E32" s="38"/>
      <c r="F32" s="12" t="str">
        <f aca="false">IF($B32="","",IF($H32="","In Inventory","Sold"))</f>
        <v/>
      </c>
      <c r="G32" s="39"/>
      <c r="H32" s="39"/>
      <c r="I32" s="39" t="str">
        <f aca="false">IF(OR($B32="",$H32=""),"",$H32-$G32)</f>
        <v/>
      </c>
      <c r="J32" s="26" t="str">
        <f aca="false">IF(OR($H32="",$L32="",$K32=""),"",$L32-$K32)</f>
        <v/>
      </c>
      <c r="K32" s="25"/>
      <c r="L32" s="25"/>
      <c r="M32" s="12"/>
      <c r="N32" s="12"/>
      <c r="O32" s="12"/>
      <c r="P32" s="39" t="str">
        <f aca="false">IF($B32="","",$G32/2)</f>
        <v/>
      </c>
      <c r="Q32" s="40" t="str">
        <f aca="false">IF($B32="","",IFERROR(N($P32)/(N($P32)+N($S32)),""))</f>
        <v/>
      </c>
      <c r="R32" s="12"/>
      <c r="S32" s="39" t="str">
        <f aca="false">IF($B32="","",$G32/2)</f>
        <v/>
      </c>
      <c r="T32" s="40" t="str">
        <f aca="false">IF($B32="","",IFERROR(N($S32)/(N($P32)+N($S32)),""))</f>
        <v/>
      </c>
      <c r="U32" s="12" t="str">
        <f aca="false">IF($L32="","",TEXT($L32,"YYYY-MM"))</f>
        <v/>
      </c>
      <c r="V32" s="26" t="str">
        <f aca="true">IF(OR($B32="",$H32&lt;&gt;""),"",TODAY()-$K32)</f>
        <v/>
      </c>
      <c r="W32" s="12" t="str">
        <f aca="false">IF($F32="In Inventory",COUNTIF($F$2:$F32,"In Inventory"),"")</f>
        <v/>
      </c>
    </row>
    <row r="33" customFormat="false" ht="15" hidden="false" customHeight="true" outlineLevel="0" collapsed="false">
      <c r="A33" s="12"/>
      <c r="B33" s="12"/>
      <c r="C33" s="12"/>
      <c r="D33" s="26"/>
      <c r="E33" s="38"/>
      <c r="F33" s="12" t="str">
        <f aca="false">IF($B33="","",IF($H33="","In Inventory","Sold"))</f>
        <v/>
      </c>
      <c r="G33" s="39"/>
      <c r="H33" s="39"/>
      <c r="I33" s="39" t="str">
        <f aca="false">IF(OR($B33="",$H33=""),"",$H33-$G33)</f>
        <v/>
      </c>
      <c r="J33" s="26" t="str">
        <f aca="false">IF(OR($H33="",$L33="",$K33=""),"",$L33-$K33)</f>
        <v/>
      </c>
      <c r="K33" s="25"/>
      <c r="L33" s="25"/>
      <c r="M33" s="12"/>
      <c r="N33" s="12"/>
      <c r="O33" s="12"/>
      <c r="P33" s="39" t="str">
        <f aca="false">IF($B33="","",$G33/2)</f>
        <v/>
      </c>
      <c r="Q33" s="40" t="str">
        <f aca="false">IF($B33="","",IFERROR(N($P33)/(N($P33)+N($S33)),""))</f>
        <v/>
      </c>
      <c r="R33" s="12"/>
      <c r="S33" s="39" t="str">
        <f aca="false">IF($B33="","",$G33/2)</f>
        <v/>
      </c>
      <c r="T33" s="40" t="str">
        <f aca="false">IF($B33="","",IFERROR(N($S33)/(N($P33)+N($S33)),""))</f>
        <v/>
      </c>
      <c r="U33" s="12" t="str">
        <f aca="false">IF($L33="","",TEXT($L33,"YYYY-MM"))</f>
        <v/>
      </c>
      <c r="V33" s="26" t="str">
        <f aca="true">IF(OR($B33="",$H33&lt;&gt;""),"",TODAY()-$K33)</f>
        <v/>
      </c>
      <c r="W33" s="12" t="str">
        <f aca="false">IF($F33="In Inventory",COUNTIF($F$2:$F33,"In Inventory"),"")</f>
        <v/>
      </c>
    </row>
    <row r="34" customFormat="false" ht="15" hidden="false" customHeight="true" outlineLevel="0" collapsed="false">
      <c r="A34" s="12"/>
      <c r="B34" s="12"/>
      <c r="C34" s="12"/>
      <c r="D34" s="26"/>
      <c r="E34" s="38"/>
      <c r="F34" s="12" t="str">
        <f aca="false">IF($B34="","",IF($H34="","In Inventory","Sold"))</f>
        <v/>
      </c>
      <c r="G34" s="39"/>
      <c r="H34" s="39"/>
      <c r="I34" s="39" t="str">
        <f aca="false">IF(OR($B34="",$H34=""),"",$H34-$G34)</f>
        <v/>
      </c>
      <c r="J34" s="26" t="str">
        <f aca="false">IF(OR($H34="",$L34="",$K34=""),"",$L34-$K34)</f>
        <v/>
      </c>
      <c r="K34" s="25"/>
      <c r="L34" s="25"/>
      <c r="M34" s="12"/>
      <c r="N34" s="12"/>
      <c r="O34" s="12"/>
      <c r="P34" s="39" t="str">
        <f aca="false">IF($B34="","",$G34/2)</f>
        <v/>
      </c>
      <c r="Q34" s="40" t="str">
        <f aca="false">IF($B34="","",IFERROR(N($P34)/(N($P34)+N($S34)),""))</f>
        <v/>
      </c>
      <c r="R34" s="12"/>
      <c r="S34" s="39" t="str">
        <f aca="false">IF($B34="","",$G34/2)</f>
        <v/>
      </c>
      <c r="T34" s="40" t="str">
        <f aca="false">IF($B34="","",IFERROR(N($S34)/(N($P34)+N($S34)),""))</f>
        <v/>
      </c>
      <c r="U34" s="12" t="str">
        <f aca="false">IF($L34="","",TEXT($L34,"YYYY-MM"))</f>
        <v/>
      </c>
      <c r="V34" s="26" t="str">
        <f aca="true">IF(OR($B34="",$H34&lt;&gt;""),"",TODAY()-$K34)</f>
        <v/>
      </c>
      <c r="W34" s="12" t="str">
        <f aca="false">IF($F34="In Inventory",COUNTIF($F$2:$F34,"In Inventory"),"")</f>
        <v/>
      </c>
    </row>
    <row r="35" customFormat="false" ht="15" hidden="false" customHeight="true" outlineLevel="0" collapsed="false">
      <c r="A35" s="12"/>
      <c r="B35" s="12"/>
      <c r="C35" s="12"/>
      <c r="D35" s="26"/>
      <c r="E35" s="38"/>
      <c r="F35" s="12" t="str">
        <f aca="false">IF($B35="","",IF($H35="","In Inventory","Sold"))</f>
        <v/>
      </c>
      <c r="G35" s="39"/>
      <c r="H35" s="39"/>
      <c r="I35" s="39" t="str">
        <f aca="false">IF(OR($B35="",$H35=""),"",$H35-$G35)</f>
        <v/>
      </c>
      <c r="J35" s="26" t="str">
        <f aca="false">IF(OR($H35="",$L35="",$K35=""),"",$L35-$K35)</f>
        <v/>
      </c>
      <c r="K35" s="25"/>
      <c r="L35" s="25"/>
      <c r="M35" s="12"/>
      <c r="N35" s="12"/>
      <c r="O35" s="12"/>
      <c r="P35" s="39" t="str">
        <f aca="false">IF($B35="","",$G35/2)</f>
        <v/>
      </c>
      <c r="Q35" s="40" t="str">
        <f aca="false">IF($B35="","",IFERROR(N($P35)/(N($P35)+N($S35)),""))</f>
        <v/>
      </c>
      <c r="R35" s="12"/>
      <c r="S35" s="39" t="str">
        <f aca="false">IF($B35="","",$G35/2)</f>
        <v/>
      </c>
      <c r="T35" s="40" t="str">
        <f aca="false">IF($B35="","",IFERROR(N($S35)/(N($P35)+N($S35)),""))</f>
        <v/>
      </c>
      <c r="U35" s="12" t="str">
        <f aca="false">IF($L35="","",TEXT($L35,"YYYY-MM"))</f>
        <v/>
      </c>
      <c r="V35" s="26" t="str">
        <f aca="true">IF(OR($B35="",$H35&lt;&gt;""),"",TODAY()-$K35)</f>
        <v/>
      </c>
      <c r="W35" s="12" t="str">
        <f aca="false">IF($F35="In Inventory",COUNTIF($F$2:$F35,"In Inventory"),"")</f>
        <v/>
      </c>
    </row>
    <row r="36" customFormat="false" ht="15" hidden="false" customHeight="true" outlineLevel="0" collapsed="false">
      <c r="A36" s="12"/>
      <c r="B36" s="12"/>
      <c r="C36" s="12"/>
      <c r="D36" s="26"/>
      <c r="E36" s="38"/>
      <c r="F36" s="12" t="str">
        <f aca="false">IF($B36="","",IF($H36="","In Inventory","Sold"))</f>
        <v/>
      </c>
      <c r="G36" s="39"/>
      <c r="H36" s="39"/>
      <c r="I36" s="39" t="str">
        <f aca="false">IF(OR($B36="",$H36=""),"",$H36-$G36)</f>
        <v/>
      </c>
      <c r="J36" s="26" t="str">
        <f aca="false">IF(OR($H36="",$L36="",$K36=""),"",$L36-$K36)</f>
        <v/>
      </c>
      <c r="K36" s="25"/>
      <c r="L36" s="25"/>
      <c r="M36" s="12"/>
      <c r="N36" s="12"/>
      <c r="O36" s="12"/>
      <c r="P36" s="39" t="str">
        <f aca="false">IF($B36="","",$G36/2)</f>
        <v/>
      </c>
      <c r="Q36" s="40" t="str">
        <f aca="false">IF($B36="","",IFERROR(N($P36)/(N($P36)+N($S36)),""))</f>
        <v/>
      </c>
      <c r="R36" s="12"/>
      <c r="S36" s="39" t="str">
        <f aca="false">IF($B36="","",$G36/2)</f>
        <v/>
      </c>
      <c r="T36" s="40" t="str">
        <f aca="false">IF($B36="","",IFERROR(N($S36)/(N($P36)+N($S36)),""))</f>
        <v/>
      </c>
      <c r="U36" s="12" t="str">
        <f aca="false">IF($L36="","",TEXT($L36,"YYYY-MM"))</f>
        <v/>
      </c>
      <c r="V36" s="26" t="str">
        <f aca="true">IF(OR($B36="",$H36&lt;&gt;""),"",TODAY()-$K36)</f>
        <v/>
      </c>
      <c r="W36" s="12" t="str">
        <f aca="false">IF($F36="In Inventory",COUNTIF($F$2:$F36,"In Inventory"),"")</f>
        <v/>
      </c>
    </row>
    <row r="37" customFormat="false" ht="15" hidden="false" customHeight="true" outlineLevel="0" collapsed="false">
      <c r="A37" s="12"/>
      <c r="B37" s="12"/>
      <c r="C37" s="12"/>
      <c r="D37" s="26"/>
      <c r="E37" s="38"/>
      <c r="F37" s="12" t="str">
        <f aca="false">IF($B37="","",IF($H37="","In Inventory","Sold"))</f>
        <v/>
      </c>
      <c r="G37" s="39"/>
      <c r="H37" s="39"/>
      <c r="I37" s="39" t="str">
        <f aca="false">IF(OR($B37="",$H37=""),"",$H37-$G37)</f>
        <v/>
      </c>
      <c r="J37" s="26" t="str">
        <f aca="false">IF(OR($H37="",$L37="",$K37=""),"",$L37-$K37)</f>
        <v/>
      </c>
      <c r="K37" s="25"/>
      <c r="L37" s="25"/>
      <c r="M37" s="12"/>
      <c r="N37" s="12"/>
      <c r="O37" s="12"/>
      <c r="P37" s="39" t="str">
        <f aca="false">IF($B37="","",$G37/2)</f>
        <v/>
      </c>
      <c r="Q37" s="40" t="str">
        <f aca="false">IF($B37="","",IFERROR(N($P37)/(N($P37)+N($S37)),""))</f>
        <v/>
      </c>
      <c r="R37" s="12"/>
      <c r="S37" s="39" t="str">
        <f aca="false">IF($B37="","",$G37/2)</f>
        <v/>
      </c>
      <c r="T37" s="40" t="str">
        <f aca="false">IF($B37="","",IFERROR(N($S37)/(N($P37)+N($S37)),""))</f>
        <v/>
      </c>
      <c r="U37" s="12" t="str">
        <f aca="false">IF($L37="","",TEXT($L37,"YYYY-MM"))</f>
        <v/>
      </c>
      <c r="V37" s="26" t="str">
        <f aca="true">IF(OR($B37="",$H37&lt;&gt;""),"",TODAY()-$K37)</f>
        <v/>
      </c>
      <c r="W37" s="12" t="str">
        <f aca="false">IF($F37="In Inventory",COUNTIF($F$2:$F37,"In Inventory"),"")</f>
        <v/>
      </c>
    </row>
    <row r="38" customFormat="false" ht="15" hidden="false" customHeight="true" outlineLevel="0" collapsed="false">
      <c r="A38" s="12"/>
      <c r="B38" s="12"/>
      <c r="C38" s="12"/>
      <c r="D38" s="26"/>
      <c r="E38" s="38"/>
      <c r="F38" s="12" t="str">
        <f aca="false">IF($B38="","",IF($H38="","In Inventory","Sold"))</f>
        <v/>
      </c>
      <c r="G38" s="39"/>
      <c r="H38" s="39"/>
      <c r="I38" s="39" t="str">
        <f aca="false">IF(OR($B38="",$H38=""),"",$H38-$G38)</f>
        <v/>
      </c>
      <c r="J38" s="26" t="str">
        <f aca="false">IF(OR($H38="",$L38="",$K38=""),"",$L38-$K38)</f>
        <v/>
      </c>
      <c r="K38" s="25"/>
      <c r="L38" s="25"/>
      <c r="M38" s="12"/>
      <c r="N38" s="12"/>
      <c r="O38" s="12"/>
      <c r="P38" s="39" t="str">
        <f aca="false">IF($B38="","",$G38/2)</f>
        <v/>
      </c>
      <c r="Q38" s="40" t="str">
        <f aca="false">IF($B38="","",IFERROR(N($P38)/(N($P38)+N($S38)),""))</f>
        <v/>
      </c>
      <c r="R38" s="12"/>
      <c r="S38" s="39" t="str">
        <f aca="false">IF($B38="","",$G38/2)</f>
        <v/>
      </c>
      <c r="T38" s="40" t="str">
        <f aca="false">IF($B38="","",IFERROR(N($S38)/(N($P38)+N($S38)),""))</f>
        <v/>
      </c>
      <c r="U38" s="12" t="str">
        <f aca="false">IF($L38="","",TEXT($L38,"YYYY-MM"))</f>
        <v/>
      </c>
      <c r="V38" s="26" t="str">
        <f aca="true">IF(OR($B38="",$H38&lt;&gt;""),"",TODAY()-$K38)</f>
        <v/>
      </c>
      <c r="W38" s="12" t="str">
        <f aca="false">IF($F38="In Inventory",COUNTIF($F$2:$F38,"In Inventory"),"")</f>
        <v/>
      </c>
    </row>
    <row r="39" customFormat="false" ht="15" hidden="false" customHeight="true" outlineLevel="0" collapsed="false">
      <c r="A39" s="12"/>
      <c r="B39" s="12"/>
      <c r="C39" s="12"/>
      <c r="D39" s="26"/>
      <c r="E39" s="38"/>
      <c r="F39" s="12" t="str">
        <f aca="false">IF($B39="","",IF($H39="","In Inventory","Sold"))</f>
        <v/>
      </c>
      <c r="G39" s="39"/>
      <c r="H39" s="39"/>
      <c r="I39" s="39" t="str">
        <f aca="false">IF(OR($B39="",$H39=""),"",$H39-$G39)</f>
        <v/>
      </c>
      <c r="J39" s="26" t="str">
        <f aca="false">IF(OR($H39="",$L39="",$K39=""),"",$L39-$K39)</f>
        <v/>
      </c>
      <c r="K39" s="25"/>
      <c r="L39" s="25"/>
      <c r="M39" s="12"/>
      <c r="N39" s="12"/>
      <c r="O39" s="12"/>
      <c r="P39" s="39" t="str">
        <f aca="false">IF($B39="","",$G39/2)</f>
        <v/>
      </c>
      <c r="Q39" s="40" t="str">
        <f aca="false">IF($B39="","",IFERROR(N($P39)/(N($P39)+N($S39)),""))</f>
        <v/>
      </c>
      <c r="R39" s="12"/>
      <c r="S39" s="39" t="str">
        <f aca="false">IF($B39="","",$G39/2)</f>
        <v/>
      </c>
      <c r="T39" s="40" t="str">
        <f aca="false">IF($B39="","",IFERROR(N($S39)/(N($P39)+N($S39)),""))</f>
        <v/>
      </c>
      <c r="U39" s="12" t="str">
        <f aca="false">IF($L39="","",TEXT($L39,"YYYY-MM"))</f>
        <v/>
      </c>
      <c r="V39" s="26" t="str">
        <f aca="true">IF(OR($B39="",$H39&lt;&gt;""),"",TODAY()-$K39)</f>
        <v/>
      </c>
      <c r="W39" s="12" t="str">
        <f aca="false">IF($F39="In Inventory",COUNTIF($F$2:$F39,"In Inventory"),"")</f>
        <v/>
      </c>
    </row>
    <row r="40" customFormat="false" ht="15" hidden="false" customHeight="true" outlineLevel="0" collapsed="false">
      <c r="A40" s="12"/>
      <c r="B40" s="12"/>
      <c r="C40" s="12"/>
      <c r="D40" s="26"/>
      <c r="E40" s="38"/>
      <c r="F40" s="12" t="str">
        <f aca="false">IF($B40="","",IF($H40="","In Inventory","Sold"))</f>
        <v/>
      </c>
      <c r="G40" s="39"/>
      <c r="H40" s="39"/>
      <c r="I40" s="39" t="str">
        <f aca="false">IF(OR($B40="",$H40=""),"",$H40-$G40)</f>
        <v/>
      </c>
      <c r="J40" s="26" t="str">
        <f aca="false">IF(OR($H40="",$L40="",$K40=""),"",$L40-$K40)</f>
        <v/>
      </c>
      <c r="K40" s="25"/>
      <c r="L40" s="25"/>
      <c r="M40" s="12"/>
      <c r="N40" s="12"/>
      <c r="O40" s="12"/>
      <c r="P40" s="39" t="str">
        <f aca="false">IF($B40="","",$G40/2)</f>
        <v/>
      </c>
      <c r="Q40" s="40" t="str">
        <f aca="false">IF($B40="","",IFERROR(N($P40)/(N($P40)+N($S40)),""))</f>
        <v/>
      </c>
      <c r="R40" s="12"/>
      <c r="S40" s="39" t="str">
        <f aca="false">IF($B40="","",$G40/2)</f>
        <v/>
      </c>
      <c r="T40" s="40" t="str">
        <f aca="false">IF($B40="","",IFERROR(N($S40)/(N($P40)+N($S40)),""))</f>
        <v/>
      </c>
      <c r="U40" s="12" t="str">
        <f aca="false">IF($L40="","",TEXT($L40,"YYYY-MM"))</f>
        <v/>
      </c>
      <c r="V40" s="26" t="str">
        <f aca="true">IF(OR($B40="",$H40&lt;&gt;""),"",TODAY()-$K40)</f>
        <v/>
      </c>
      <c r="W40" s="12" t="str">
        <f aca="false">IF($F40="In Inventory",COUNTIF($F$2:$F40,"In Inventory"),"")</f>
        <v/>
      </c>
    </row>
    <row r="41" customFormat="false" ht="15" hidden="false" customHeight="true" outlineLevel="0" collapsed="false">
      <c r="A41" s="12"/>
      <c r="B41" s="12"/>
      <c r="C41" s="12"/>
      <c r="D41" s="26"/>
      <c r="E41" s="38"/>
      <c r="F41" s="12" t="str">
        <f aca="false">IF($B41="","",IF($H41="","In Inventory","Sold"))</f>
        <v/>
      </c>
      <c r="G41" s="39"/>
      <c r="H41" s="39"/>
      <c r="I41" s="39" t="str">
        <f aca="false">IF(OR($B41="",$H41=""),"",$H41-$G41)</f>
        <v/>
      </c>
      <c r="J41" s="26" t="str">
        <f aca="false">IF(OR($H41="",$L41="",$K41=""),"",$L41-$K41)</f>
        <v/>
      </c>
      <c r="K41" s="25"/>
      <c r="L41" s="25"/>
      <c r="M41" s="12"/>
      <c r="N41" s="12"/>
      <c r="O41" s="12"/>
      <c r="P41" s="39" t="str">
        <f aca="false">IF($B41="","",$G41/2)</f>
        <v/>
      </c>
      <c r="Q41" s="40" t="str">
        <f aca="false">IF($B41="","",IFERROR(N($P41)/(N($P41)+N($S41)),""))</f>
        <v/>
      </c>
      <c r="R41" s="12"/>
      <c r="S41" s="39" t="str">
        <f aca="false">IF($B41="","",$G41/2)</f>
        <v/>
      </c>
      <c r="T41" s="40" t="str">
        <f aca="false">IF($B41="","",IFERROR(N($S41)/(N($P41)+N($S41)),""))</f>
        <v/>
      </c>
      <c r="U41" s="12" t="str">
        <f aca="false">IF($L41="","",TEXT($L41,"YYYY-MM"))</f>
        <v/>
      </c>
      <c r="V41" s="26" t="str">
        <f aca="true">IF(OR($B41="",$H41&lt;&gt;""),"",TODAY()-$K41)</f>
        <v/>
      </c>
      <c r="W41" s="12" t="str">
        <f aca="false">IF($F41="In Inventory",COUNTIF($F$2:$F41,"In Inventory"),"")</f>
        <v/>
      </c>
    </row>
    <row r="42" customFormat="false" ht="15" hidden="false" customHeight="true" outlineLevel="0" collapsed="false">
      <c r="A42" s="12"/>
      <c r="B42" s="12"/>
      <c r="C42" s="12"/>
      <c r="D42" s="26"/>
      <c r="E42" s="38"/>
      <c r="F42" s="12" t="str">
        <f aca="false">IF($B42="","",IF($H42="","In Inventory","Sold"))</f>
        <v/>
      </c>
      <c r="G42" s="39"/>
      <c r="H42" s="39"/>
      <c r="I42" s="39" t="str">
        <f aca="false">IF(OR($B42="",$H42=""),"",$H42-$G42)</f>
        <v/>
      </c>
      <c r="J42" s="26" t="str">
        <f aca="false">IF(OR($H42="",$L42="",$K42=""),"",$L42-$K42)</f>
        <v/>
      </c>
      <c r="K42" s="25"/>
      <c r="L42" s="25"/>
      <c r="M42" s="12"/>
      <c r="N42" s="12"/>
      <c r="O42" s="12"/>
      <c r="P42" s="39" t="str">
        <f aca="false">IF($B42="","",$G42/2)</f>
        <v/>
      </c>
      <c r="Q42" s="40" t="str">
        <f aca="false">IF($B42="","",IFERROR(N($P42)/(N($P42)+N($S42)),""))</f>
        <v/>
      </c>
      <c r="R42" s="12"/>
      <c r="S42" s="39" t="str">
        <f aca="false">IF($B42="","",$G42/2)</f>
        <v/>
      </c>
      <c r="T42" s="40" t="str">
        <f aca="false">IF($B42="","",IFERROR(N($S42)/(N($P42)+N($S42)),""))</f>
        <v/>
      </c>
      <c r="U42" s="12" t="str">
        <f aca="false">IF($L42="","",TEXT($L42,"YYYY-MM"))</f>
        <v/>
      </c>
      <c r="V42" s="26" t="str">
        <f aca="true">IF(OR($B42="",$H42&lt;&gt;""),"",TODAY()-$K42)</f>
        <v/>
      </c>
      <c r="W42" s="12" t="str">
        <f aca="false">IF($F42="In Inventory",COUNTIF($F$2:$F42,"In Inventory"),"")</f>
        <v/>
      </c>
    </row>
    <row r="43" customFormat="false" ht="15" hidden="false" customHeight="true" outlineLevel="0" collapsed="false">
      <c r="A43" s="12"/>
      <c r="B43" s="12"/>
      <c r="C43" s="12"/>
      <c r="D43" s="26"/>
      <c r="E43" s="38"/>
      <c r="F43" s="12" t="str">
        <f aca="false">IF($B43="","",IF($H43="","In Inventory","Sold"))</f>
        <v/>
      </c>
      <c r="G43" s="39"/>
      <c r="H43" s="39"/>
      <c r="I43" s="39" t="str">
        <f aca="false">IF(OR($B43="",$H43=""),"",$H43-$G43)</f>
        <v/>
      </c>
      <c r="J43" s="26" t="str">
        <f aca="false">IF(OR($H43="",$L43="",$K43=""),"",$L43-$K43)</f>
        <v/>
      </c>
      <c r="K43" s="25"/>
      <c r="L43" s="25"/>
      <c r="M43" s="12"/>
      <c r="N43" s="12"/>
      <c r="O43" s="12"/>
      <c r="P43" s="39" t="str">
        <f aca="false">IF($B43="","",$G43/2)</f>
        <v/>
      </c>
      <c r="Q43" s="40" t="str">
        <f aca="false">IF($B43="","",IFERROR(N($P43)/(N($P43)+N($S43)),""))</f>
        <v/>
      </c>
      <c r="R43" s="12"/>
      <c r="S43" s="39" t="str">
        <f aca="false">IF($B43="","",$G43/2)</f>
        <v/>
      </c>
      <c r="T43" s="40" t="str">
        <f aca="false">IF($B43="","",IFERROR(N($S43)/(N($P43)+N($S43)),""))</f>
        <v/>
      </c>
      <c r="U43" s="12" t="str">
        <f aca="false">IF($L43="","",TEXT($L43,"YYYY-MM"))</f>
        <v/>
      </c>
      <c r="V43" s="26" t="str">
        <f aca="true">IF(OR($B43="",$H43&lt;&gt;""),"",TODAY()-$K43)</f>
        <v/>
      </c>
      <c r="W43" s="12" t="str">
        <f aca="false">IF($F43="In Inventory",COUNTIF($F$2:$F43,"In Inventory"),"")</f>
        <v/>
      </c>
    </row>
    <row r="44" customFormat="false" ht="15" hidden="false" customHeight="true" outlineLevel="0" collapsed="false">
      <c r="A44" s="12"/>
      <c r="B44" s="12"/>
      <c r="C44" s="12"/>
      <c r="D44" s="26"/>
      <c r="E44" s="38"/>
      <c r="F44" s="12" t="str">
        <f aca="false">IF($B44="","",IF($H44="","In Inventory","Sold"))</f>
        <v/>
      </c>
      <c r="G44" s="39"/>
      <c r="H44" s="39"/>
      <c r="I44" s="39" t="str">
        <f aca="false">IF(OR($B44="",$H44=""),"",$H44-$G44)</f>
        <v/>
      </c>
      <c r="J44" s="26" t="str">
        <f aca="false">IF(OR($H44="",$L44="",$K44=""),"",$L44-$K44)</f>
        <v/>
      </c>
      <c r="K44" s="25"/>
      <c r="L44" s="25"/>
      <c r="M44" s="12"/>
      <c r="N44" s="12"/>
      <c r="O44" s="12"/>
      <c r="P44" s="39" t="str">
        <f aca="false">IF($B44="","",$G44/2)</f>
        <v/>
      </c>
      <c r="Q44" s="40" t="str">
        <f aca="false">IF($B44="","",IFERROR(N($P44)/(N($P44)+N($S44)),""))</f>
        <v/>
      </c>
      <c r="R44" s="12"/>
      <c r="S44" s="39" t="str">
        <f aca="false">IF($B44="","",$G44/2)</f>
        <v/>
      </c>
      <c r="T44" s="40" t="str">
        <f aca="false">IF($B44="","",IFERROR(N($S44)/(N($P44)+N($S44)),""))</f>
        <v/>
      </c>
      <c r="U44" s="12" t="str">
        <f aca="false">IF($L44="","",TEXT($L44,"YYYY-MM"))</f>
        <v/>
      </c>
      <c r="V44" s="26" t="str">
        <f aca="true">IF(OR($B44="",$H44&lt;&gt;""),"",TODAY()-$K44)</f>
        <v/>
      </c>
      <c r="W44" s="12" t="str">
        <f aca="false">IF($F44="In Inventory",COUNTIF($F$2:$F44,"In Inventory"),"")</f>
        <v/>
      </c>
    </row>
    <row r="45" customFormat="false" ht="15" hidden="false" customHeight="true" outlineLevel="0" collapsed="false">
      <c r="A45" s="12"/>
      <c r="B45" s="12"/>
      <c r="C45" s="12"/>
      <c r="D45" s="26"/>
      <c r="E45" s="38"/>
      <c r="F45" s="12" t="str">
        <f aca="false">IF($B45="","",IF($H45="","In Inventory","Sold"))</f>
        <v/>
      </c>
      <c r="G45" s="39"/>
      <c r="H45" s="39"/>
      <c r="I45" s="39" t="str">
        <f aca="false">IF(OR($B45="",$H45=""),"",$H45-$G45)</f>
        <v/>
      </c>
      <c r="J45" s="26" t="str">
        <f aca="false">IF(OR($H45="",$L45="",$K45=""),"",$L45-$K45)</f>
        <v/>
      </c>
      <c r="K45" s="25"/>
      <c r="L45" s="25"/>
      <c r="M45" s="12"/>
      <c r="N45" s="12"/>
      <c r="O45" s="12"/>
      <c r="P45" s="39" t="str">
        <f aca="false">IF($B45="","",$G45/2)</f>
        <v/>
      </c>
      <c r="Q45" s="40" t="str">
        <f aca="false">IF($B45="","",IFERROR(N($P45)/(N($P45)+N($S45)),""))</f>
        <v/>
      </c>
      <c r="R45" s="12"/>
      <c r="S45" s="39" t="str">
        <f aca="false">IF($B45="","",$G45/2)</f>
        <v/>
      </c>
      <c r="T45" s="40" t="str">
        <f aca="false">IF($B45="","",IFERROR(N($S45)/(N($P45)+N($S45)),""))</f>
        <v/>
      </c>
      <c r="U45" s="12" t="str">
        <f aca="false">IF($L45="","",TEXT($L45,"YYYY-MM"))</f>
        <v/>
      </c>
      <c r="V45" s="26" t="str">
        <f aca="true">IF(OR($B45="",$H45&lt;&gt;""),"",TODAY()-$K45)</f>
        <v/>
      </c>
      <c r="W45" s="12" t="str">
        <f aca="false">IF($F45="In Inventory",COUNTIF($F$2:$F45,"In Inventory"),"")</f>
        <v/>
      </c>
    </row>
    <row r="46" customFormat="false" ht="15" hidden="false" customHeight="true" outlineLevel="0" collapsed="false">
      <c r="A46" s="12"/>
      <c r="B46" s="12"/>
      <c r="C46" s="12"/>
      <c r="D46" s="26"/>
      <c r="E46" s="38"/>
      <c r="F46" s="12" t="str">
        <f aca="false">IF($B46="","",IF($H46="","In Inventory","Sold"))</f>
        <v/>
      </c>
      <c r="G46" s="39"/>
      <c r="H46" s="39"/>
      <c r="I46" s="39" t="str">
        <f aca="false">IF(OR($B46="",$H46=""),"",$H46-$G46)</f>
        <v/>
      </c>
      <c r="J46" s="26" t="str">
        <f aca="false">IF(OR($H46="",$L46="",$K46=""),"",$L46-$K46)</f>
        <v/>
      </c>
      <c r="K46" s="25"/>
      <c r="L46" s="25"/>
      <c r="M46" s="12"/>
      <c r="N46" s="12"/>
      <c r="O46" s="12"/>
      <c r="P46" s="39" t="str">
        <f aca="false">IF($B46="","",$G46/2)</f>
        <v/>
      </c>
      <c r="Q46" s="40" t="str">
        <f aca="false">IF($B46="","",IFERROR(N($P46)/(N($P46)+N($S46)),""))</f>
        <v/>
      </c>
      <c r="R46" s="12"/>
      <c r="S46" s="39" t="str">
        <f aca="false">IF($B46="","",$G46/2)</f>
        <v/>
      </c>
      <c r="T46" s="40" t="str">
        <f aca="false">IF($B46="","",IFERROR(N($S46)/(N($P46)+N($S46)),""))</f>
        <v/>
      </c>
      <c r="U46" s="12" t="str">
        <f aca="false">IF($L46="","",TEXT($L46,"YYYY-MM"))</f>
        <v/>
      </c>
      <c r="V46" s="26" t="str">
        <f aca="true">IF(OR($B46="",$H46&lt;&gt;""),"",TODAY()-$K46)</f>
        <v/>
      </c>
      <c r="W46" s="12" t="str">
        <f aca="false">IF($F46="In Inventory",COUNTIF($F$2:$F46,"In Inventory"),"")</f>
        <v/>
      </c>
    </row>
    <row r="47" customFormat="false" ht="15" hidden="false" customHeight="true" outlineLevel="0" collapsed="false">
      <c r="A47" s="12"/>
      <c r="B47" s="12"/>
      <c r="C47" s="12"/>
      <c r="D47" s="26"/>
      <c r="E47" s="38"/>
      <c r="F47" s="12" t="str">
        <f aca="false">IF($B47="","",IF($H47="","In Inventory","Sold"))</f>
        <v/>
      </c>
      <c r="G47" s="39"/>
      <c r="H47" s="39"/>
      <c r="I47" s="39" t="str">
        <f aca="false">IF(OR($B47="",$H47=""),"",$H47-$G47)</f>
        <v/>
      </c>
      <c r="J47" s="26" t="str">
        <f aca="false">IF(OR($H47="",$L47="",$K47=""),"",$L47-$K47)</f>
        <v/>
      </c>
      <c r="K47" s="25"/>
      <c r="L47" s="25"/>
      <c r="M47" s="12"/>
      <c r="N47" s="12"/>
      <c r="O47" s="12"/>
      <c r="P47" s="39" t="str">
        <f aca="false">IF($B47="","",$G47/2)</f>
        <v/>
      </c>
      <c r="Q47" s="40" t="str">
        <f aca="false">IF($B47="","",IFERROR(N($P47)/(N($P47)+N($S47)),""))</f>
        <v/>
      </c>
      <c r="R47" s="12"/>
      <c r="S47" s="39" t="str">
        <f aca="false">IF($B47="","",$G47/2)</f>
        <v/>
      </c>
      <c r="T47" s="40" t="str">
        <f aca="false">IF($B47="","",IFERROR(N($S47)/(N($P47)+N($S47)),""))</f>
        <v/>
      </c>
      <c r="U47" s="12" t="str">
        <f aca="false">IF($L47="","",TEXT($L47,"YYYY-MM"))</f>
        <v/>
      </c>
      <c r="V47" s="26" t="str">
        <f aca="true">IF(OR($B47="",$H47&lt;&gt;""),"",TODAY()-$K47)</f>
        <v/>
      </c>
      <c r="W47" s="12" t="str">
        <f aca="false">IF($F47="In Inventory",COUNTIF($F$2:$F47,"In Inventory"),"")</f>
        <v/>
      </c>
    </row>
    <row r="48" customFormat="false" ht="15" hidden="false" customHeight="true" outlineLevel="0" collapsed="false">
      <c r="A48" s="12"/>
      <c r="B48" s="12"/>
      <c r="C48" s="12"/>
      <c r="D48" s="26"/>
      <c r="E48" s="38"/>
      <c r="F48" s="12" t="str">
        <f aca="false">IF($B48="","",IF($H48="","In Inventory","Sold"))</f>
        <v/>
      </c>
      <c r="G48" s="39"/>
      <c r="H48" s="39"/>
      <c r="I48" s="39" t="str">
        <f aca="false">IF(OR($B48="",$H48=""),"",$H48-$G48)</f>
        <v/>
      </c>
      <c r="J48" s="26" t="str">
        <f aca="false">IF(OR($H48="",$L48="",$K48=""),"",$L48-$K48)</f>
        <v/>
      </c>
      <c r="K48" s="25"/>
      <c r="L48" s="25"/>
      <c r="M48" s="12"/>
      <c r="N48" s="12"/>
      <c r="O48" s="12"/>
      <c r="P48" s="39" t="str">
        <f aca="false">IF($B48="","",$G48/2)</f>
        <v/>
      </c>
      <c r="Q48" s="40" t="str">
        <f aca="false">IF($B48="","",IFERROR(N($P48)/(N($P48)+N($S48)),""))</f>
        <v/>
      </c>
      <c r="R48" s="12"/>
      <c r="S48" s="39" t="str">
        <f aca="false">IF($B48="","",$G48/2)</f>
        <v/>
      </c>
      <c r="T48" s="40" t="str">
        <f aca="false">IF($B48="","",IFERROR(N($S48)/(N($P48)+N($S48)),""))</f>
        <v/>
      </c>
      <c r="U48" s="12" t="str">
        <f aca="false">IF($L48="","",TEXT($L48,"YYYY-MM"))</f>
        <v/>
      </c>
      <c r="V48" s="26" t="str">
        <f aca="true">IF(OR($B48="",$H48&lt;&gt;""),"",TODAY()-$K48)</f>
        <v/>
      </c>
      <c r="W48" s="12" t="str">
        <f aca="false">IF($F48="In Inventory",COUNTIF($F$2:$F48,"In Inventory"),"")</f>
        <v/>
      </c>
    </row>
    <row r="49" customFormat="false" ht="15" hidden="false" customHeight="true" outlineLevel="0" collapsed="false">
      <c r="A49" s="12"/>
      <c r="B49" s="12"/>
      <c r="C49" s="12"/>
      <c r="D49" s="26"/>
      <c r="E49" s="38"/>
      <c r="F49" s="12" t="str">
        <f aca="false">IF($B49="","",IF($H49="","In Inventory","Sold"))</f>
        <v/>
      </c>
      <c r="G49" s="39"/>
      <c r="H49" s="39"/>
      <c r="I49" s="39" t="str">
        <f aca="false">IF(OR($B49="",$H49=""),"",$H49-$G49)</f>
        <v/>
      </c>
      <c r="J49" s="26" t="str">
        <f aca="false">IF(OR($H49="",$L49="",$K49=""),"",$L49-$K49)</f>
        <v/>
      </c>
      <c r="K49" s="25"/>
      <c r="L49" s="25"/>
      <c r="M49" s="12"/>
      <c r="N49" s="12"/>
      <c r="O49" s="12"/>
      <c r="P49" s="39" t="str">
        <f aca="false">IF($B49="","",$G49/2)</f>
        <v/>
      </c>
      <c r="Q49" s="40" t="str">
        <f aca="false">IF($B49="","",IFERROR(N($P49)/(N($P49)+N($S49)),""))</f>
        <v/>
      </c>
      <c r="R49" s="12"/>
      <c r="S49" s="39" t="str">
        <f aca="false">IF($B49="","",$G49/2)</f>
        <v/>
      </c>
      <c r="T49" s="40" t="str">
        <f aca="false">IF($B49="","",IFERROR(N($S49)/(N($P49)+N($S49)),""))</f>
        <v/>
      </c>
      <c r="U49" s="12" t="str">
        <f aca="false">IF($L49="","",TEXT($L49,"YYYY-MM"))</f>
        <v/>
      </c>
      <c r="V49" s="26" t="str">
        <f aca="true">IF(OR($B49="",$H49&lt;&gt;""),"",TODAY()-$K49)</f>
        <v/>
      </c>
      <c r="W49" s="12" t="str">
        <f aca="false">IF($F49="In Inventory",COUNTIF($F$2:$F49,"In Inventory"),"")</f>
        <v/>
      </c>
    </row>
    <row r="50" customFormat="false" ht="15" hidden="false" customHeight="true" outlineLevel="0" collapsed="false">
      <c r="A50" s="12"/>
      <c r="B50" s="12"/>
      <c r="C50" s="12"/>
      <c r="D50" s="26"/>
      <c r="E50" s="38"/>
      <c r="F50" s="12" t="str">
        <f aca="false">IF($B50="","",IF($H50="","In Inventory","Sold"))</f>
        <v/>
      </c>
      <c r="G50" s="39"/>
      <c r="H50" s="39"/>
      <c r="I50" s="39" t="str">
        <f aca="false">IF(OR($B50="",$H50=""),"",$H50-$G50)</f>
        <v/>
      </c>
      <c r="J50" s="26" t="str">
        <f aca="false">IF(OR($H50="",$L50="",$K50=""),"",$L50-$K50)</f>
        <v/>
      </c>
      <c r="K50" s="25"/>
      <c r="L50" s="25"/>
      <c r="M50" s="12"/>
      <c r="N50" s="12"/>
      <c r="O50" s="12"/>
      <c r="P50" s="39" t="str">
        <f aca="false">IF($B50="","",$G50/2)</f>
        <v/>
      </c>
      <c r="Q50" s="40" t="str">
        <f aca="false">IF($B50="","",IFERROR(N($P50)/(N($P50)+N($S50)),""))</f>
        <v/>
      </c>
      <c r="R50" s="12"/>
      <c r="S50" s="39" t="str">
        <f aca="false">IF($B50="","",$G50/2)</f>
        <v/>
      </c>
      <c r="T50" s="40" t="str">
        <f aca="false">IF($B50="","",IFERROR(N($S50)/(N($P50)+N($S50)),""))</f>
        <v/>
      </c>
      <c r="U50" s="12" t="str">
        <f aca="false">IF($L50="","",TEXT($L50,"YYYY-MM"))</f>
        <v/>
      </c>
      <c r="V50" s="26" t="str">
        <f aca="true">IF(OR($B50="",$H50&lt;&gt;""),"",TODAY()-$K50)</f>
        <v/>
      </c>
      <c r="W50" s="12" t="str">
        <f aca="false">IF($F50="In Inventory",COUNTIF($F$2:$F50,"In Inventory"),"")</f>
        <v/>
      </c>
    </row>
    <row r="51" customFormat="false" ht="15" hidden="false" customHeight="true" outlineLevel="0" collapsed="false">
      <c r="A51" s="12"/>
      <c r="B51" s="12"/>
      <c r="C51" s="12"/>
      <c r="D51" s="26"/>
      <c r="E51" s="38"/>
      <c r="F51" s="12" t="str">
        <f aca="false">IF($B51="","",IF($H51="","In Inventory","Sold"))</f>
        <v/>
      </c>
      <c r="G51" s="39"/>
      <c r="H51" s="39"/>
      <c r="I51" s="39" t="str">
        <f aca="false">IF(OR($B51="",$H51=""),"",$H51-$G51)</f>
        <v/>
      </c>
      <c r="J51" s="26" t="str">
        <f aca="false">IF(OR($H51="",$L51="",$K51=""),"",$L51-$K51)</f>
        <v/>
      </c>
      <c r="K51" s="25"/>
      <c r="L51" s="25"/>
      <c r="M51" s="12"/>
      <c r="N51" s="12"/>
      <c r="O51" s="12"/>
      <c r="P51" s="39" t="str">
        <f aca="false">IF($B51="","",$G51/2)</f>
        <v/>
      </c>
      <c r="Q51" s="40" t="str">
        <f aca="false">IF($B51="","",IFERROR(N($P51)/(N($P51)+N($S51)),""))</f>
        <v/>
      </c>
      <c r="R51" s="12"/>
      <c r="S51" s="39" t="str">
        <f aca="false">IF($B51="","",$G51/2)</f>
        <v/>
      </c>
      <c r="T51" s="40" t="str">
        <f aca="false">IF($B51="","",IFERROR(N($S51)/(N($P51)+N($S51)),""))</f>
        <v/>
      </c>
      <c r="U51" s="12" t="str">
        <f aca="false">IF($L51="","",TEXT($L51,"YYYY-MM"))</f>
        <v/>
      </c>
      <c r="V51" s="26" t="str">
        <f aca="true">IF(OR($B51="",$H51&lt;&gt;""),"",TODAY()-$K51)</f>
        <v/>
      </c>
      <c r="W51" s="12" t="str">
        <f aca="false">IF($F51="In Inventory",COUNTIF($F$2:$F51,"In Inventory"),"")</f>
        <v/>
      </c>
    </row>
    <row r="52" customFormat="false" ht="15" hidden="false" customHeight="true" outlineLevel="0" collapsed="false">
      <c r="A52" s="12"/>
      <c r="B52" s="12"/>
      <c r="C52" s="12"/>
      <c r="D52" s="26"/>
      <c r="E52" s="38"/>
      <c r="F52" s="12" t="str">
        <f aca="false">IF($B52="","",IF($H52="","In Inventory","Sold"))</f>
        <v/>
      </c>
      <c r="G52" s="39"/>
      <c r="H52" s="39"/>
      <c r="I52" s="39" t="str">
        <f aca="false">IF(OR($B52="",$H52=""),"",$H52-$G52)</f>
        <v/>
      </c>
      <c r="J52" s="26" t="str">
        <f aca="false">IF(OR($H52="",$L52="",$K52=""),"",$L52-$K52)</f>
        <v/>
      </c>
      <c r="K52" s="25"/>
      <c r="L52" s="25"/>
      <c r="M52" s="12"/>
      <c r="N52" s="12"/>
      <c r="O52" s="12"/>
      <c r="P52" s="39" t="str">
        <f aca="false">IF($B52="","",$G52/2)</f>
        <v/>
      </c>
      <c r="Q52" s="40" t="str">
        <f aca="false">IF($B52="","",IFERROR(N($P52)/(N($P52)+N($S52)),""))</f>
        <v/>
      </c>
      <c r="R52" s="12"/>
      <c r="S52" s="39" t="str">
        <f aca="false">IF($B52="","",$G52/2)</f>
        <v/>
      </c>
      <c r="T52" s="40" t="str">
        <f aca="false">IF($B52="","",IFERROR(N($S52)/(N($P52)+N($S52)),""))</f>
        <v/>
      </c>
      <c r="U52" s="12" t="str">
        <f aca="false">IF($L52="","",TEXT($L52,"YYYY-MM"))</f>
        <v/>
      </c>
      <c r="V52" s="26" t="str">
        <f aca="true">IF(OR($B52="",$H52&lt;&gt;""),"",TODAY()-$K52)</f>
        <v/>
      </c>
      <c r="W52" s="12" t="str">
        <f aca="false">IF($F52="In Inventory",COUNTIF($F$2:$F52,"In Inventory"),"")</f>
        <v/>
      </c>
    </row>
    <row r="53" customFormat="false" ht="15" hidden="false" customHeight="true" outlineLevel="0" collapsed="false">
      <c r="A53" s="12"/>
      <c r="B53" s="12"/>
      <c r="C53" s="12"/>
      <c r="D53" s="26"/>
      <c r="E53" s="38"/>
      <c r="F53" s="12" t="str">
        <f aca="false">IF($B53="","",IF($H53="","In Inventory","Sold"))</f>
        <v/>
      </c>
      <c r="G53" s="39"/>
      <c r="H53" s="39"/>
      <c r="I53" s="39" t="str">
        <f aca="false">IF(OR($B53="",$H53=""),"",$H53-$G53)</f>
        <v/>
      </c>
      <c r="J53" s="26" t="str">
        <f aca="false">IF(OR($H53="",$L53="",$K53=""),"",$L53-$K53)</f>
        <v/>
      </c>
      <c r="K53" s="25"/>
      <c r="L53" s="25"/>
      <c r="M53" s="12"/>
      <c r="N53" s="12"/>
      <c r="O53" s="12"/>
      <c r="P53" s="39" t="str">
        <f aca="false">IF($B53="","",$G53/2)</f>
        <v/>
      </c>
      <c r="Q53" s="40" t="str">
        <f aca="false">IF($B53="","",IFERROR(N($P53)/(N($P53)+N($S53)),""))</f>
        <v/>
      </c>
      <c r="R53" s="12"/>
      <c r="S53" s="39" t="str">
        <f aca="false">IF($B53="","",$G53/2)</f>
        <v/>
      </c>
      <c r="T53" s="40" t="str">
        <f aca="false">IF($B53="","",IFERROR(N($S53)/(N($P53)+N($S53)),""))</f>
        <v/>
      </c>
      <c r="U53" s="12" t="str">
        <f aca="false">IF($L53="","",TEXT($L53,"YYYY-MM"))</f>
        <v/>
      </c>
      <c r="V53" s="26" t="str">
        <f aca="true">IF(OR($B53="",$H53&lt;&gt;""),"",TODAY()-$K53)</f>
        <v/>
      </c>
      <c r="W53" s="12" t="str">
        <f aca="false">IF($F53="In Inventory",COUNTIF($F$2:$F53,"In Inventory"),"")</f>
        <v/>
      </c>
    </row>
    <row r="54" customFormat="false" ht="15" hidden="false" customHeight="true" outlineLevel="0" collapsed="false">
      <c r="A54" s="12"/>
      <c r="B54" s="12"/>
      <c r="C54" s="12"/>
      <c r="D54" s="26"/>
      <c r="E54" s="38"/>
      <c r="F54" s="12" t="str">
        <f aca="false">IF($B54="","",IF($H54="","In Inventory","Sold"))</f>
        <v/>
      </c>
      <c r="G54" s="39"/>
      <c r="H54" s="39"/>
      <c r="I54" s="39" t="str">
        <f aca="false">IF(OR($B54="",$H54=""),"",$H54-$G54)</f>
        <v/>
      </c>
      <c r="J54" s="26" t="str">
        <f aca="false">IF(OR($H54="",$L54="",$K54=""),"",$L54-$K54)</f>
        <v/>
      </c>
      <c r="K54" s="25"/>
      <c r="L54" s="25"/>
      <c r="M54" s="12"/>
      <c r="N54" s="12"/>
      <c r="O54" s="12"/>
      <c r="P54" s="39" t="str">
        <f aca="false">IF($B54="","",$G54/2)</f>
        <v/>
      </c>
      <c r="Q54" s="40" t="str">
        <f aca="false">IF($B54="","",IFERROR(N($P54)/(N($P54)+N($S54)),""))</f>
        <v/>
      </c>
      <c r="R54" s="12"/>
      <c r="S54" s="39" t="str">
        <f aca="false">IF($B54="","",$G54/2)</f>
        <v/>
      </c>
      <c r="T54" s="40" t="str">
        <f aca="false">IF($B54="","",IFERROR(N($S54)/(N($P54)+N($S54)),""))</f>
        <v/>
      </c>
      <c r="U54" s="12" t="str">
        <f aca="false">IF($L54="","",TEXT($L54,"YYYY-MM"))</f>
        <v/>
      </c>
      <c r="V54" s="26" t="str">
        <f aca="true">IF(OR($B54="",$H54&lt;&gt;""),"",TODAY()-$K54)</f>
        <v/>
      </c>
      <c r="W54" s="12" t="str">
        <f aca="false">IF($F54="In Inventory",COUNTIF($F$2:$F54,"In Inventory"),"")</f>
        <v/>
      </c>
    </row>
    <row r="55" customFormat="false" ht="15" hidden="false" customHeight="true" outlineLevel="0" collapsed="false">
      <c r="A55" s="12"/>
      <c r="B55" s="12"/>
      <c r="C55" s="12"/>
      <c r="D55" s="26"/>
      <c r="E55" s="38"/>
      <c r="F55" s="12" t="str">
        <f aca="false">IF($B55="","",IF($H55="","In Inventory","Sold"))</f>
        <v/>
      </c>
      <c r="G55" s="39"/>
      <c r="H55" s="39"/>
      <c r="I55" s="39" t="str">
        <f aca="false">IF(OR($B55="",$H55=""),"",$H55-$G55)</f>
        <v/>
      </c>
      <c r="J55" s="26" t="str">
        <f aca="false">IF(OR($H55="",$L55="",$K55=""),"",$L55-$K55)</f>
        <v/>
      </c>
      <c r="K55" s="25"/>
      <c r="L55" s="25"/>
      <c r="M55" s="12"/>
      <c r="N55" s="12"/>
      <c r="O55" s="12"/>
      <c r="P55" s="39" t="str">
        <f aca="false">IF($B55="","",$G55/2)</f>
        <v/>
      </c>
      <c r="Q55" s="40" t="str">
        <f aca="false">IF($B55="","",IFERROR(N($P55)/(N($P55)+N($S55)),""))</f>
        <v/>
      </c>
      <c r="R55" s="12"/>
      <c r="S55" s="39" t="str">
        <f aca="false">IF($B55="","",$G55/2)</f>
        <v/>
      </c>
      <c r="T55" s="40" t="str">
        <f aca="false">IF($B55="","",IFERROR(N($S55)/(N($P55)+N($S55)),""))</f>
        <v/>
      </c>
      <c r="U55" s="12" t="str">
        <f aca="false">IF($L55="","",TEXT($L55,"YYYY-MM"))</f>
        <v/>
      </c>
      <c r="V55" s="26" t="str">
        <f aca="true">IF(OR($B55="",$H55&lt;&gt;""),"",TODAY()-$K55)</f>
        <v/>
      </c>
      <c r="W55" s="12" t="str">
        <f aca="false">IF($F55="In Inventory",COUNTIF($F$2:$F55,"In Inventory"),"")</f>
        <v/>
      </c>
    </row>
    <row r="56" customFormat="false" ht="15" hidden="false" customHeight="true" outlineLevel="0" collapsed="false">
      <c r="A56" s="12"/>
      <c r="B56" s="12"/>
      <c r="C56" s="12"/>
      <c r="D56" s="26"/>
      <c r="E56" s="38"/>
      <c r="F56" s="12" t="str">
        <f aca="false">IF($B56="","",IF($H56="","In Inventory","Sold"))</f>
        <v/>
      </c>
      <c r="G56" s="39"/>
      <c r="H56" s="39"/>
      <c r="I56" s="39" t="str">
        <f aca="false">IF(OR($B56="",$H56=""),"",$H56-$G56)</f>
        <v/>
      </c>
      <c r="J56" s="26" t="str">
        <f aca="false">IF(OR($H56="",$L56="",$K56=""),"",$L56-$K56)</f>
        <v/>
      </c>
      <c r="K56" s="25"/>
      <c r="L56" s="25"/>
      <c r="M56" s="12"/>
      <c r="N56" s="12"/>
      <c r="O56" s="12"/>
      <c r="P56" s="39" t="str">
        <f aca="false">IF($B56="","",$G56/2)</f>
        <v/>
      </c>
      <c r="Q56" s="40" t="str">
        <f aca="false">IF($B56="","",IFERROR(N($P56)/(N($P56)+N($S56)),""))</f>
        <v/>
      </c>
      <c r="R56" s="12"/>
      <c r="S56" s="39" t="str">
        <f aca="false">IF($B56="","",$G56/2)</f>
        <v/>
      </c>
      <c r="T56" s="40" t="str">
        <f aca="false">IF($B56="","",IFERROR(N($S56)/(N($P56)+N($S56)),""))</f>
        <v/>
      </c>
      <c r="U56" s="12" t="str">
        <f aca="false">IF($L56="","",TEXT($L56,"YYYY-MM"))</f>
        <v/>
      </c>
      <c r="V56" s="26" t="str">
        <f aca="true">IF(OR($B56="",$H56&lt;&gt;""),"",TODAY()-$K56)</f>
        <v/>
      </c>
      <c r="W56" s="12" t="str">
        <f aca="false">IF($F56="In Inventory",COUNTIF($F$2:$F56,"In Inventory"),"")</f>
        <v/>
      </c>
    </row>
    <row r="57" customFormat="false" ht="15" hidden="false" customHeight="true" outlineLevel="0" collapsed="false">
      <c r="A57" s="12"/>
      <c r="B57" s="12"/>
      <c r="C57" s="12"/>
      <c r="D57" s="26"/>
      <c r="E57" s="38"/>
      <c r="F57" s="12" t="str">
        <f aca="false">IF($B57="","",IF($H57="","In Inventory","Sold"))</f>
        <v/>
      </c>
      <c r="G57" s="39"/>
      <c r="H57" s="39"/>
      <c r="I57" s="39" t="str">
        <f aca="false">IF(OR($B57="",$H57=""),"",$H57-$G57)</f>
        <v/>
      </c>
      <c r="J57" s="26" t="str">
        <f aca="false">IF(OR($H57="",$L57="",$K57=""),"",$L57-$K57)</f>
        <v/>
      </c>
      <c r="K57" s="25"/>
      <c r="L57" s="25"/>
      <c r="M57" s="12"/>
      <c r="N57" s="12"/>
      <c r="O57" s="12"/>
      <c r="P57" s="39" t="str">
        <f aca="false">IF($B57="","",$G57/2)</f>
        <v/>
      </c>
      <c r="Q57" s="40" t="str">
        <f aca="false">IF($B57="","",IFERROR(N($P57)/(N($P57)+N($S57)),""))</f>
        <v/>
      </c>
      <c r="R57" s="12"/>
      <c r="S57" s="39" t="str">
        <f aca="false">IF($B57="","",$G57/2)</f>
        <v/>
      </c>
      <c r="T57" s="40" t="str">
        <f aca="false">IF($B57="","",IFERROR(N($S57)/(N($P57)+N($S57)),""))</f>
        <v/>
      </c>
      <c r="U57" s="12" t="str">
        <f aca="false">IF($L57="","",TEXT($L57,"YYYY-MM"))</f>
        <v/>
      </c>
      <c r="V57" s="26" t="str">
        <f aca="true">IF(OR($B57="",$H57&lt;&gt;""),"",TODAY()-$K57)</f>
        <v/>
      </c>
      <c r="W57" s="12" t="str">
        <f aca="false">IF($F57="In Inventory",COUNTIF($F$2:$F57,"In Inventory"),"")</f>
        <v/>
      </c>
    </row>
    <row r="58" customFormat="false" ht="15" hidden="false" customHeight="true" outlineLevel="0" collapsed="false">
      <c r="A58" s="12"/>
      <c r="B58" s="12"/>
      <c r="C58" s="12"/>
      <c r="D58" s="26"/>
      <c r="E58" s="38"/>
      <c r="F58" s="12" t="str">
        <f aca="false">IF($B58="","",IF($H58="","In Inventory","Sold"))</f>
        <v/>
      </c>
      <c r="G58" s="39"/>
      <c r="H58" s="39"/>
      <c r="I58" s="39" t="str">
        <f aca="false">IF(OR($B58="",$H58=""),"",$H58-$G58)</f>
        <v/>
      </c>
      <c r="J58" s="26" t="str">
        <f aca="false">IF(OR($H58="",$L58="",$K58=""),"",$L58-$K58)</f>
        <v/>
      </c>
      <c r="K58" s="25"/>
      <c r="L58" s="25"/>
      <c r="M58" s="12"/>
      <c r="N58" s="12"/>
      <c r="O58" s="12"/>
      <c r="P58" s="39" t="str">
        <f aca="false">IF($B58="","",$G58/2)</f>
        <v/>
      </c>
      <c r="Q58" s="40" t="str">
        <f aca="false">IF($B58="","",IFERROR(N($P58)/(N($P58)+N($S58)),""))</f>
        <v/>
      </c>
      <c r="R58" s="12"/>
      <c r="S58" s="39" t="str">
        <f aca="false">IF($B58="","",$G58/2)</f>
        <v/>
      </c>
      <c r="T58" s="40" t="str">
        <f aca="false">IF($B58="","",IFERROR(N($S58)/(N($P58)+N($S58)),""))</f>
        <v/>
      </c>
      <c r="U58" s="12" t="str">
        <f aca="false">IF($L58="","",TEXT($L58,"YYYY-MM"))</f>
        <v/>
      </c>
      <c r="V58" s="26" t="str">
        <f aca="true">IF(OR($B58="",$H58&lt;&gt;""),"",TODAY()-$K58)</f>
        <v/>
      </c>
      <c r="W58" s="12" t="str">
        <f aca="false">IF($F58="In Inventory",COUNTIF($F$2:$F58,"In Inventory"),"")</f>
        <v/>
      </c>
    </row>
    <row r="59" customFormat="false" ht="15" hidden="false" customHeight="true" outlineLevel="0" collapsed="false">
      <c r="A59" s="12"/>
      <c r="B59" s="12"/>
      <c r="C59" s="12"/>
      <c r="D59" s="26"/>
      <c r="E59" s="38"/>
      <c r="F59" s="12" t="str">
        <f aca="false">IF($B59="","",IF($H59="","In Inventory","Sold"))</f>
        <v/>
      </c>
      <c r="G59" s="39"/>
      <c r="H59" s="39"/>
      <c r="I59" s="39" t="str">
        <f aca="false">IF(OR($B59="",$H59=""),"",$H59-$G59)</f>
        <v/>
      </c>
      <c r="J59" s="26" t="str">
        <f aca="false">IF(OR($H59="",$L59="",$K59=""),"",$L59-$K59)</f>
        <v/>
      </c>
      <c r="K59" s="25"/>
      <c r="L59" s="25"/>
      <c r="M59" s="12"/>
      <c r="N59" s="12"/>
      <c r="O59" s="12"/>
      <c r="P59" s="39" t="str">
        <f aca="false">IF($B59="","",$G59/2)</f>
        <v/>
      </c>
      <c r="Q59" s="40" t="str">
        <f aca="false">IF($B59="","",IFERROR(N($P59)/(N($P59)+N($S59)),""))</f>
        <v/>
      </c>
      <c r="R59" s="12"/>
      <c r="S59" s="39" t="str">
        <f aca="false">IF($B59="","",$G59/2)</f>
        <v/>
      </c>
      <c r="T59" s="40" t="str">
        <f aca="false">IF($B59="","",IFERROR(N($S59)/(N($P59)+N($S59)),""))</f>
        <v/>
      </c>
      <c r="U59" s="12" t="str">
        <f aca="false">IF($L59="","",TEXT($L59,"YYYY-MM"))</f>
        <v/>
      </c>
      <c r="V59" s="26" t="str">
        <f aca="true">IF(OR($B59="",$H59&lt;&gt;""),"",TODAY()-$K59)</f>
        <v/>
      </c>
      <c r="W59" s="12" t="str">
        <f aca="false">IF($F59="In Inventory",COUNTIF($F$2:$F59,"In Inventory"),"")</f>
        <v/>
      </c>
    </row>
    <row r="60" customFormat="false" ht="15" hidden="false" customHeight="true" outlineLevel="0" collapsed="false">
      <c r="A60" s="12"/>
      <c r="B60" s="12"/>
      <c r="C60" s="12"/>
      <c r="D60" s="26"/>
      <c r="E60" s="38"/>
      <c r="F60" s="12" t="str">
        <f aca="false">IF($B60="","",IF($H60="","In Inventory","Sold"))</f>
        <v/>
      </c>
      <c r="G60" s="39"/>
      <c r="H60" s="39"/>
      <c r="I60" s="39" t="str">
        <f aca="false">IF(OR($B60="",$H60=""),"",$H60-$G60)</f>
        <v/>
      </c>
      <c r="J60" s="26" t="str">
        <f aca="false">IF(OR($H60="",$L60="",$K60=""),"",$L60-$K60)</f>
        <v/>
      </c>
      <c r="K60" s="25"/>
      <c r="L60" s="25"/>
      <c r="M60" s="12"/>
      <c r="N60" s="12"/>
      <c r="O60" s="12"/>
      <c r="P60" s="39" t="str">
        <f aca="false">IF($B60="","",$G60/2)</f>
        <v/>
      </c>
      <c r="Q60" s="40" t="str">
        <f aca="false">IF($B60="","",IFERROR(N($P60)/(N($P60)+N($S60)),""))</f>
        <v/>
      </c>
      <c r="R60" s="12"/>
      <c r="S60" s="39" t="str">
        <f aca="false">IF($B60="","",$G60/2)</f>
        <v/>
      </c>
      <c r="T60" s="40" t="str">
        <f aca="false">IF($B60="","",IFERROR(N($S60)/(N($P60)+N($S60)),""))</f>
        <v/>
      </c>
      <c r="U60" s="12" t="str">
        <f aca="false">IF($L60="","",TEXT($L60,"YYYY-MM"))</f>
        <v/>
      </c>
      <c r="V60" s="26" t="str">
        <f aca="true">IF(OR($B60="",$H60&lt;&gt;""),"",TODAY()-$K60)</f>
        <v/>
      </c>
      <c r="W60" s="12" t="str">
        <f aca="false">IF($F60="In Inventory",COUNTIF($F$2:$F60,"In Inventory"),"")</f>
        <v/>
      </c>
    </row>
  </sheetData>
  <autoFilter ref="A1:T60"/>
  <conditionalFormatting sqref="F2:F60">
    <cfRule type="cellIs" priority="2" operator="equal" aboveAverage="0" equalAverage="0" bottom="0" percent="0" rank="0" text="" dxfId="10">
      <formula>"Sold"</formula>
    </cfRule>
    <cfRule type="cellIs" priority="3" operator="equal" aboveAverage="0" equalAverage="0" bottom="0" percent="0" rank="0" text="" dxfId="11">
      <formula>"In Inventory"</formula>
    </cfRule>
  </conditionalFormatting>
  <conditionalFormatting sqref="I2:I60">
    <cfRule type="cellIs" priority="4" operator="greaterThan" aboveAverage="0" equalAverage="0" bottom="0" percent="0" rank="0" text="" dxfId="12">
      <formula>0</formula>
    </cfRule>
  </conditionalFormatting>
  <dataValidations count="1">
    <dataValidation allowBlank="true" errorStyle="stop" operator="between" showDropDown="false" showErrorMessage="false" showInputMessage="false" sqref="E2:E60" type="list">
      <formula1>"Motorcycle,Car,Truck,SUV,Other"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2026-06-12T08:24:05Z</dcterms:created>
  <dc:creator>openpyxl</dc:creator>
  <dc:description/>
  <dc:language>en-US</dc:language>
  <cp:lastModifiedBy/>
  <dcterms:modified xsi:type="dcterms:W3CDTF">2026-06-12T08:24:05Z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